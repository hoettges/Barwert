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HAC\Bayernallee\Verwaltung\Kommissionen\DWA\WI 2\bearbeitungen\b260424\"/>
    </mc:Choice>
  </mc:AlternateContent>
  <xr:revisionPtr revIDLastSave="0" documentId="13_ncr:1_{4551DFA7-A5C7-4132-9798-30FB8B4E9EF9}" xr6:coauthVersionLast="36" xr6:coauthVersionMax="36" xr10:uidLastSave="{00000000-0000-0000-0000-000000000000}"/>
  <bookViews>
    <workbookView xWindow="0" yWindow="0" windowWidth="57600" windowHeight="29700" xr2:uid="{3C469100-3F29-4E6C-AF5C-FA68EBCBD28B}"/>
  </bookViews>
  <sheets>
    <sheet name="Ab 4.7 (3%)" sheetId="9" r:id="rId1"/>
    <sheet name="Ab 4.7 variabel" sheetId="1" r:id="rId2"/>
    <sheet name="Ab. 5.2" sheetId="8" r:id="rId3"/>
    <sheet name="Zinssatzverlauf" sheetId="7" r:id="rId4"/>
  </sheets>
  <definedNames>
    <definedName name="clipboard" localSheetId="0">'Ab 4.7 (3%)'!$A$3:$B$53</definedName>
    <definedName name="clipboard" localSheetId="1">'Ab 4.7 variabel'!$A$3:$B$53</definedName>
    <definedName name="clipboard" localSheetId="2">'Ab. 5.2'!$A$3:$B$10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9" l="1"/>
  <c r="B43" i="9"/>
  <c r="B35" i="9"/>
  <c r="B30" i="9"/>
  <c r="B29" i="9"/>
  <c r="B22" i="9"/>
  <c r="B10" i="8" l="1"/>
  <c r="B4" i="1" l="1"/>
  <c r="B22" i="1" l="1"/>
  <c r="B29" i="1"/>
  <c r="B35" i="1"/>
  <c r="B43" i="1"/>
  <c r="B49" i="1"/>
  <c r="B30" i="1"/>
</calcChain>
</file>

<file path=xl/sharedStrings.xml><?xml version="1.0" encoding="utf-8"?>
<sst xmlns="http://schemas.openxmlformats.org/spreadsheetml/2006/main" count="97" uniqueCount="24">
  <si>
    <t>Jahr</t>
  </si>
  <si>
    <t>Vorlaufzeit</t>
  </si>
  <si>
    <t>Laufzeit</t>
  </si>
  <si>
    <t>1. Rate</t>
  </si>
  <si>
    <t>Abnahme pro Jahr</t>
  </si>
  <si>
    <t>Inflation</t>
  </si>
  <si>
    <t>1 Pacht: 10'000 m² · 15 €/m²</t>
  </si>
  <si>
    <t>2 Verkauf Altanlage</t>
  </si>
  <si>
    <t>Steigerungsrate</t>
  </si>
  <si>
    <t>Gesamtlaufzeit</t>
  </si>
  <si>
    <t>Zahltakt</t>
  </si>
  <si>
    <t>Quadratische Steigerung</t>
  </si>
  <si>
    <t>Allgemeine Parameter:</t>
  </si>
  <si>
    <t>Zinssatz</t>
  </si>
  <si>
    <r>
      <t>i</t>
    </r>
    <r>
      <rPr>
        <b/>
        <i/>
        <vertAlign val="subscript"/>
        <sz val="10"/>
        <rFont val="Arial"/>
        <family val="2"/>
      </rPr>
      <t>t</t>
    </r>
  </si>
  <si>
    <t>Abzinsungssätze gemäß RückAbzinsV (Deutsche Bundesbank)</t>
  </si>
  <si>
    <t>3a Kapitaldienst Erstinvest (70%):</t>
  </si>
  <si>
    <t>3b Kapitaldienst Teilreplikation</t>
  </si>
  <si>
    <t>4a Personalrückgang 10B -&gt; 6B</t>
  </si>
  <si>
    <t>4b Personal 6B à 40000 €/B</t>
  </si>
  <si>
    <t>5 Instandhaltung &amp; Optimierung</t>
  </si>
  <si>
    <t>1 Erstinvest alle Pos. Tilgung</t>
  </si>
  <si>
    <t>Beispielprojekt gem. DWA-M 816</t>
  </si>
  <si>
    <t>Beispielprojekt gem. DWA-M 816 mit var. Zinssatzverlauf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</si>
</sst>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i/>
      <sz val="10"/>
      <color indexed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4">
    <xf numFmtId="0" fontId="0" fillId="0" borderId="0" xfId="0"/>
    <xf numFmtId="14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0" fontId="5" fillId="0" borderId="0" xfId="2" applyFont="1" applyFill="1" applyAlignment="1">
      <alignment horizontal="right"/>
    </xf>
    <xf numFmtId="10" fontId="7" fillId="0" borderId="0" xfId="1" applyNumberFormat="1" applyFont="1"/>
    <xf numFmtId="10" fontId="3" fillId="0" borderId="0" xfId="1" applyNumberFormat="1" applyFont="1"/>
    <xf numFmtId="0" fontId="8" fillId="0" borderId="0" xfId="2" applyFont="1"/>
    <xf numFmtId="0" fontId="4" fillId="0" borderId="0" xfId="2"/>
    <xf numFmtId="0" fontId="2" fillId="0" borderId="0" xfId="1"/>
    <xf numFmtId="0" fontId="4" fillId="0" borderId="0" xfId="2" applyFill="1"/>
    <xf numFmtId="0" fontId="3" fillId="0" borderId="0" xfId="1" applyFon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2" borderId="3" xfId="0" applyFill="1" applyBorder="1"/>
    <xf numFmtId="9" fontId="0" fillId="0" borderId="4" xfId="0" applyNumberFormat="1" applyBorder="1"/>
    <xf numFmtId="0" fontId="0" fillId="0" borderId="4" xfId="0" applyBorder="1"/>
    <xf numFmtId="0" fontId="0" fillId="0" borderId="3" xfId="0" applyBorder="1"/>
    <xf numFmtId="0" fontId="1" fillId="0" borderId="3" xfId="0" applyFont="1" applyBorder="1"/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/>
    <xf numFmtId="10" fontId="0" fillId="0" borderId="4" xfId="0" applyNumberFormat="1" applyBorder="1"/>
    <xf numFmtId="0" fontId="0" fillId="2" borderId="5" xfId="0" applyFill="1" applyBorder="1"/>
    <xf numFmtId="0" fontId="0" fillId="0" borderId="6" xfId="0" applyBorder="1"/>
  </cellXfs>
  <cellStyles count="3">
    <cellStyle name="Standard" xfId="0" builtinId="0"/>
    <cellStyle name="Standard 2 2 2 2" xfId="2" xr:uid="{D030B38B-FE03-4AC2-8D58-8495D3729F20}"/>
    <cellStyle name="Standard 2 3 2" xfId="1" xr:uid="{06560668-7E76-4821-8F4C-37339E6259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3CB0-2E5A-4486-BE74-600EE477CA3F}">
  <dimension ref="A1:B53"/>
  <sheetViews>
    <sheetView tabSelected="1" workbookViewId="0"/>
  </sheetViews>
  <sheetFormatPr baseColWidth="10" defaultRowHeight="15" x14ac:dyDescent="0.25"/>
  <cols>
    <col min="1" max="1" width="17.140625" bestFit="1" customWidth="1"/>
  </cols>
  <sheetData>
    <row r="1" spans="1:2" x14ac:dyDescent="0.25">
      <c r="A1" s="11" t="s">
        <v>22</v>
      </c>
    </row>
    <row r="2" spans="1:2" ht="15.75" thickBot="1" x14ac:dyDescent="0.3"/>
    <row r="3" spans="1:2" x14ac:dyDescent="0.25">
      <c r="A3" s="12" t="s">
        <v>12</v>
      </c>
      <c r="B3" s="13"/>
    </row>
    <row r="4" spans="1:2" x14ac:dyDescent="0.25">
      <c r="A4" s="14" t="s">
        <v>5</v>
      </c>
      <c r="B4" s="15">
        <v>0.03</v>
      </c>
    </row>
    <row r="5" spans="1:2" x14ac:dyDescent="0.25">
      <c r="A5" s="14" t="s">
        <v>9</v>
      </c>
      <c r="B5" s="16">
        <v>30</v>
      </c>
    </row>
    <row r="6" spans="1:2" x14ac:dyDescent="0.25">
      <c r="A6" s="17"/>
      <c r="B6" s="16"/>
    </row>
    <row r="7" spans="1:2" x14ac:dyDescent="0.25">
      <c r="A7" s="18" t="s">
        <v>6</v>
      </c>
      <c r="B7" s="16"/>
    </row>
    <row r="8" spans="1:2" x14ac:dyDescent="0.25">
      <c r="A8" s="14" t="s">
        <v>0</v>
      </c>
      <c r="B8" s="16">
        <v>2026</v>
      </c>
    </row>
    <row r="9" spans="1:2" x14ac:dyDescent="0.25">
      <c r="A9" s="14" t="s">
        <v>2</v>
      </c>
      <c r="B9" s="16">
        <v>30</v>
      </c>
    </row>
    <row r="10" spans="1:2" x14ac:dyDescent="0.25">
      <c r="A10" s="14" t="s">
        <v>3</v>
      </c>
      <c r="B10" s="16">
        <v>150000</v>
      </c>
    </row>
    <row r="11" spans="1:2" x14ac:dyDescent="0.25">
      <c r="A11" s="17"/>
      <c r="B11" s="16"/>
    </row>
    <row r="12" spans="1:2" x14ac:dyDescent="0.25">
      <c r="A12" s="18" t="s">
        <v>7</v>
      </c>
      <c r="B12" s="16"/>
    </row>
    <row r="13" spans="1:2" x14ac:dyDescent="0.25">
      <c r="A13" s="14" t="s">
        <v>0</v>
      </c>
      <c r="B13" s="16">
        <v>2026</v>
      </c>
    </row>
    <row r="14" spans="1:2" x14ac:dyDescent="0.25">
      <c r="A14" s="14" t="s">
        <v>2</v>
      </c>
      <c r="B14" s="16">
        <v>1</v>
      </c>
    </row>
    <row r="15" spans="1:2" x14ac:dyDescent="0.25">
      <c r="A15" s="14" t="s">
        <v>1</v>
      </c>
      <c r="B15" s="16">
        <v>3</v>
      </c>
    </row>
    <row r="16" spans="1:2" x14ac:dyDescent="0.25">
      <c r="A16" s="14" t="s">
        <v>3</v>
      </c>
      <c r="B16" s="16">
        <v>-1000000</v>
      </c>
    </row>
    <row r="17" spans="1:2" x14ac:dyDescent="0.25">
      <c r="A17" s="17"/>
      <c r="B17" s="16"/>
    </row>
    <row r="18" spans="1:2" ht="15" customHeight="1" x14ac:dyDescent="0.25">
      <c r="A18" s="19" t="s">
        <v>16</v>
      </c>
      <c r="B18" s="20"/>
    </row>
    <row r="19" spans="1:2" x14ac:dyDescent="0.25">
      <c r="A19" s="19"/>
      <c r="B19" s="20"/>
    </row>
    <row r="20" spans="1:2" x14ac:dyDescent="0.25">
      <c r="A20" s="14" t="s">
        <v>0</v>
      </c>
      <c r="B20" s="16">
        <v>2026</v>
      </c>
    </row>
    <row r="21" spans="1:2" x14ac:dyDescent="0.25">
      <c r="A21" s="14" t="s">
        <v>2</v>
      </c>
      <c r="B21" s="16">
        <v>20</v>
      </c>
    </row>
    <row r="22" spans="1:2" x14ac:dyDescent="0.25">
      <c r="A22" s="14" t="s">
        <v>3</v>
      </c>
      <c r="B22" s="16">
        <f>526400-B23*0</f>
        <v>526400</v>
      </c>
    </row>
    <row r="23" spans="1:2" x14ac:dyDescent="0.25">
      <c r="A23" s="14" t="s">
        <v>4</v>
      </c>
      <c r="B23" s="16">
        <v>8400</v>
      </c>
    </row>
    <row r="24" spans="1:2" x14ac:dyDescent="0.25">
      <c r="A24" s="17"/>
      <c r="B24" s="16"/>
    </row>
    <row r="25" spans="1:2" x14ac:dyDescent="0.25">
      <c r="A25" s="19" t="s">
        <v>17</v>
      </c>
      <c r="B25" s="20"/>
    </row>
    <row r="26" spans="1:2" x14ac:dyDescent="0.25">
      <c r="A26" s="14" t="s">
        <v>0</v>
      </c>
      <c r="B26" s="16">
        <v>2026</v>
      </c>
    </row>
    <row r="27" spans="1:2" x14ac:dyDescent="0.25">
      <c r="A27" s="14" t="s">
        <v>1</v>
      </c>
      <c r="B27" s="16">
        <v>25</v>
      </c>
    </row>
    <row r="28" spans="1:2" x14ac:dyDescent="0.25">
      <c r="A28" s="14" t="s">
        <v>2</v>
      </c>
      <c r="B28" s="16">
        <v>4</v>
      </c>
    </row>
    <row r="29" spans="1:2" x14ac:dyDescent="0.25">
      <c r="A29" s="14" t="s">
        <v>3</v>
      </c>
      <c r="B29" s="16">
        <f>(836000-16000*0)*1.015^25</f>
        <v>1212990.3160342509</v>
      </c>
    </row>
    <row r="30" spans="1:2" x14ac:dyDescent="0.25">
      <c r="A30" s="14" t="s">
        <v>4</v>
      </c>
      <c r="B30" s="16">
        <f>16000*1.015^25</f>
        <v>23215.12566572729</v>
      </c>
    </row>
    <row r="31" spans="1:2" x14ac:dyDescent="0.25">
      <c r="A31" s="17"/>
      <c r="B31" s="16"/>
    </row>
    <row r="32" spans="1:2" ht="15" customHeight="1" x14ac:dyDescent="0.25">
      <c r="A32" s="19" t="s">
        <v>18</v>
      </c>
      <c r="B32" s="20"/>
    </row>
    <row r="33" spans="1:2" x14ac:dyDescent="0.25">
      <c r="A33" s="14" t="s">
        <v>0</v>
      </c>
      <c r="B33" s="16">
        <v>2026</v>
      </c>
    </row>
    <row r="34" spans="1:2" x14ac:dyDescent="0.25">
      <c r="A34" s="14" t="s">
        <v>2</v>
      </c>
      <c r="B34" s="16">
        <v>10</v>
      </c>
    </row>
    <row r="35" spans="1:2" x14ac:dyDescent="0.25">
      <c r="A35" s="14" t="s">
        <v>3</v>
      </c>
      <c r="B35" s="16">
        <f>(400000-B36*0)*(1+B37)^0</f>
        <v>400000</v>
      </c>
    </row>
    <row r="36" spans="1:2" x14ac:dyDescent="0.25">
      <c r="A36" s="14" t="s">
        <v>4</v>
      </c>
      <c r="B36" s="16">
        <v>16000</v>
      </c>
    </row>
    <row r="37" spans="1:2" x14ac:dyDescent="0.25">
      <c r="A37" s="14" t="s">
        <v>8</v>
      </c>
      <c r="B37" s="21">
        <v>0.02</v>
      </c>
    </row>
    <row r="38" spans="1:2" x14ac:dyDescent="0.25">
      <c r="A38" s="17"/>
      <c r="B38" s="21"/>
    </row>
    <row r="39" spans="1:2" x14ac:dyDescent="0.25">
      <c r="A39" s="19" t="s">
        <v>19</v>
      </c>
      <c r="B39" s="20"/>
    </row>
    <row r="40" spans="1:2" x14ac:dyDescent="0.25">
      <c r="A40" s="14" t="s">
        <v>0</v>
      </c>
      <c r="B40" s="16">
        <v>2036</v>
      </c>
    </row>
    <row r="41" spans="1:2" x14ac:dyDescent="0.25">
      <c r="A41" s="14" t="s">
        <v>1</v>
      </c>
      <c r="B41" s="16">
        <v>10</v>
      </c>
    </row>
    <row r="42" spans="1:2" x14ac:dyDescent="0.25">
      <c r="A42" s="14" t="s">
        <v>2</v>
      </c>
      <c r="B42" s="16">
        <v>20</v>
      </c>
    </row>
    <row r="43" spans="1:2" x14ac:dyDescent="0.25">
      <c r="A43" s="14" t="s">
        <v>3</v>
      </c>
      <c r="B43" s="16">
        <f>240000*1.02^(10+0)</f>
        <v>292558.66079874168</v>
      </c>
    </row>
    <row r="44" spans="1:2" x14ac:dyDescent="0.25">
      <c r="A44" s="14" t="s">
        <v>8</v>
      </c>
      <c r="B44" s="21">
        <v>0.02</v>
      </c>
    </row>
    <row r="45" spans="1:2" x14ac:dyDescent="0.25">
      <c r="A45" s="17"/>
      <c r="B45" s="21"/>
    </row>
    <row r="46" spans="1:2" x14ac:dyDescent="0.25">
      <c r="A46" s="19" t="s">
        <v>20</v>
      </c>
      <c r="B46" s="20"/>
    </row>
    <row r="47" spans="1:2" x14ac:dyDescent="0.25">
      <c r="A47" s="19"/>
      <c r="B47" s="20"/>
    </row>
    <row r="48" spans="1:2" x14ac:dyDescent="0.25">
      <c r="A48" s="14" t="s">
        <v>0</v>
      </c>
      <c r="B48" s="16">
        <v>2026</v>
      </c>
    </row>
    <row r="49" spans="1:2" x14ac:dyDescent="0.25">
      <c r="A49" s="14" t="s">
        <v>3</v>
      </c>
      <c r="B49" s="16">
        <f>(300000-0*B50+0^2*B51)*(1+B52)^0</f>
        <v>300000</v>
      </c>
    </row>
    <row r="50" spans="1:2" x14ac:dyDescent="0.25">
      <c r="A50" s="14" t="s">
        <v>4</v>
      </c>
      <c r="B50" s="16">
        <v>30000</v>
      </c>
    </row>
    <row r="51" spans="1:2" x14ac:dyDescent="0.25">
      <c r="A51" s="14" t="s">
        <v>11</v>
      </c>
      <c r="B51" s="16">
        <v>1500</v>
      </c>
    </row>
    <row r="52" spans="1:2" x14ac:dyDescent="0.25">
      <c r="A52" s="14" t="s">
        <v>8</v>
      </c>
      <c r="B52" s="21">
        <v>1.4999999999999999E-2</v>
      </c>
    </row>
    <row r="53" spans="1:2" ht="15.75" thickBot="1" x14ac:dyDescent="0.3">
      <c r="A53" s="22" t="s">
        <v>10</v>
      </c>
      <c r="B53" s="23">
        <v>2</v>
      </c>
    </row>
  </sheetData>
  <mergeCells count="5">
    <mergeCell ref="A18:B19"/>
    <mergeCell ref="A25:B25"/>
    <mergeCell ref="A32:B32"/>
    <mergeCell ref="A39:B39"/>
    <mergeCell ref="A46:B47"/>
  </mergeCells>
  <dataValidations count="1">
    <dataValidation type="list" allowBlank="1" showInputMessage="1" showErrorMessage="1" sqref="A4:A5 A8:A10 A13:A16 A20:A23 A26:A30 A33:A37 A40:A44 A48:A53" xr:uid="{3403308F-A94D-4C0B-89D8-41B0ECAACFAB}">
      <formula1>"Gesamtlaufzeit,Inflation,Jahr,Einmalzahlung,1. Rate,Laufzeit,Vorlaufzeit,Abnahme pro Jahr,Zunahme pro Jahr,Zahltakt,Quadratische Steigerung,Steigerungsrate"</formula1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A69F-8A03-4789-9ED6-E6200DFD5EE2}">
  <dimension ref="A1:B53"/>
  <sheetViews>
    <sheetView workbookViewId="0"/>
  </sheetViews>
  <sheetFormatPr baseColWidth="10" defaultRowHeight="15" x14ac:dyDescent="0.25"/>
  <cols>
    <col min="1" max="1" width="17.140625" bestFit="1" customWidth="1"/>
  </cols>
  <sheetData>
    <row r="1" spans="1:2" x14ac:dyDescent="0.25">
      <c r="A1" s="11" t="s">
        <v>23</v>
      </c>
    </row>
    <row r="2" spans="1:2" ht="15.75" thickBot="1" x14ac:dyDescent="0.3"/>
    <row r="3" spans="1:2" x14ac:dyDescent="0.25">
      <c r="A3" s="12" t="s">
        <v>12</v>
      </c>
      <c r="B3" s="13"/>
    </row>
    <row r="4" spans="1:2" x14ac:dyDescent="0.25">
      <c r="A4" s="14" t="s">
        <v>5</v>
      </c>
      <c r="B4" s="15" t="str">
        <f>_xlfn.TEXTJOIN(";",TRUE,Zinssatzverlauf!A6:A55)</f>
        <v>0,0209;0,0217;0,0232;0,0248;0,0263;0,0279;0,0293;0,0307;0,0319;0,033;0,034;0,0348;0,0356;0,0362;0,0368;0,037;0,0373;0,0375;0,0377;0,0379;0,0378;0,0378;0,0377;0,0377;0,0377;0,0375;0,0374;0,0373;0,0372;0,0371;0,037;0,0369;0,0368;0,0367;0,0366;0,0366;0,0365;0,0364;0,0364;0,0363;0,0362;0,0362;0,0362;0,0361;0,0361;0,036;0,036;0,036;0,0359;0,0359</v>
      </c>
    </row>
    <row r="5" spans="1:2" x14ac:dyDescent="0.25">
      <c r="A5" s="14" t="s">
        <v>9</v>
      </c>
      <c r="B5" s="16">
        <v>30</v>
      </c>
    </row>
    <row r="6" spans="1:2" x14ac:dyDescent="0.25">
      <c r="A6" s="17"/>
      <c r="B6" s="16"/>
    </row>
    <row r="7" spans="1:2" x14ac:dyDescent="0.25">
      <c r="A7" s="18" t="s">
        <v>6</v>
      </c>
      <c r="B7" s="16"/>
    </row>
    <row r="8" spans="1:2" x14ac:dyDescent="0.25">
      <c r="A8" s="14" t="s">
        <v>0</v>
      </c>
      <c r="B8" s="16">
        <v>2026</v>
      </c>
    </row>
    <row r="9" spans="1:2" x14ac:dyDescent="0.25">
      <c r="A9" s="14" t="s">
        <v>2</v>
      </c>
      <c r="B9" s="16">
        <v>30</v>
      </c>
    </row>
    <row r="10" spans="1:2" x14ac:dyDescent="0.25">
      <c r="A10" s="14" t="s">
        <v>3</v>
      </c>
      <c r="B10" s="16">
        <v>150000</v>
      </c>
    </row>
    <row r="11" spans="1:2" x14ac:dyDescent="0.25">
      <c r="A11" s="17"/>
      <c r="B11" s="16"/>
    </row>
    <row r="12" spans="1:2" x14ac:dyDescent="0.25">
      <c r="A12" s="18" t="s">
        <v>7</v>
      </c>
      <c r="B12" s="16"/>
    </row>
    <row r="13" spans="1:2" x14ac:dyDescent="0.25">
      <c r="A13" s="14" t="s">
        <v>0</v>
      </c>
      <c r="B13" s="16">
        <v>2026</v>
      </c>
    </row>
    <row r="14" spans="1:2" x14ac:dyDescent="0.25">
      <c r="A14" s="14" t="s">
        <v>2</v>
      </c>
      <c r="B14" s="16">
        <v>1</v>
      </c>
    </row>
    <row r="15" spans="1:2" x14ac:dyDescent="0.25">
      <c r="A15" s="14" t="s">
        <v>1</v>
      </c>
      <c r="B15" s="16">
        <v>3</v>
      </c>
    </row>
    <row r="16" spans="1:2" x14ac:dyDescent="0.25">
      <c r="A16" s="14" t="s">
        <v>3</v>
      </c>
      <c r="B16" s="16">
        <v>-1000000</v>
      </c>
    </row>
    <row r="17" spans="1:2" x14ac:dyDescent="0.25">
      <c r="A17" s="17"/>
      <c r="B17" s="16"/>
    </row>
    <row r="18" spans="1:2" ht="15" customHeight="1" x14ac:dyDescent="0.25">
      <c r="A18" s="19" t="s">
        <v>16</v>
      </c>
      <c r="B18" s="20"/>
    </row>
    <row r="19" spans="1:2" x14ac:dyDescent="0.25">
      <c r="A19" s="19"/>
      <c r="B19" s="20"/>
    </row>
    <row r="20" spans="1:2" x14ac:dyDescent="0.25">
      <c r="A20" s="14" t="s">
        <v>0</v>
      </c>
      <c r="B20" s="16">
        <v>2026</v>
      </c>
    </row>
    <row r="21" spans="1:2" x14ac:dyDescent="0.25">
      <c r="A21" s="14" t="s">
        <v>2</v>
      </c>
      <c r="B21" s="16">
        <v>20</v>
      </c>
    </row>
    <row r="22" spans="1:2" x14ac:dyDescent="0.25">
      <c r="A22" s="14" t="s">
        <v>3</v>
      </c>
      <c r="B22" s="16">
        <f>526400-B23*0</f>
        <v>526400</v>
      </c>
    </row>
    <row r="23" spans="1:2" x14ac:dyDescent="0.25">
      <c r="A23" s="14" t="s">
        <v>4</v>
      </c>
      <c r="B23" s="16">
        <v>8400</v>
      </c>
    </row>
    <row r="24" spans="1:2" x14ac:dyDescent="0.25">
      <c r="A24" s="17"/>
      <c r="B24" s="16"/>
    </row>
    <row r="25" spans="1:2" x14ac:dyDescent="0.25">
      <c r="A25" s="19" t="s">
        <v>17</v>
      </c>
      <c r="B25" s="20"/>
    </row>
    <row r="26" spans="1:2" x14ac:dyDescent="0.25">
      <c r="A26" s="14" t="s">
        <v>0</v>
      </c>
      <c r="B26" s="16">
        <v>2026</v>
      </c>
    </row>
    <row r="27" spans="1:2" x14ac:dyDescent="0.25">
      <c r="A27" s="14" t="s">
        <v>1</v>
      </c>
      <c r="B27" s="16">
        <v>25</v>
      </c>
    </row>
    <row r="28" spans="1:2" x14ac:dyDescent="0.25">
      <c r="A28" s="14" t="s">
        <v>2</v>
      </c>
      <c r="B28" s="16">
        <v>4</v>
      </c>
    </row>
    <row r="29" spans="1:2" x14ac:dyDescent="0.25">
      <c r="A29" s="14" t="s">
        <v>3</v>
      </c>
      <c r="B29" s="16">
        <f>(836000-16000*0)*1.015^25</f>
        <v>1212990.3160342509</v>
      </c>
    </row>
    <row r="30" spans="1:2" x14ac:dyDescent="0.25">
      <c r="A30" s="14" t="s">
        <v>4</v>
      </c>
      <c r="B30" s="16">
        <f>16000*1.015^25</f>
        <v>23215.12566572729</v>
      </c>
    </row>
    <row r="31" spans="1:2" x14ac:dyDescent="0.25">
      <c r="A31" s="17"/>
      <c r="B31" s="16"/>
    </row>
    <row r="32" spans="1:2" ht="15" customHeight="1" x14ac:dyDescent="0.25">
      <c r="A32" s="19" t="s">
        <v>18</v>
      </c>
      <c r="B32" s="20"/>
    </row>
    <row r="33" spans="1:2" x14ac:dyDescent="0.25">
      <c r="A33" s="14" t="s">
        <v>0</v>
      </c>
      <c r="B33" s="16">
        <v>2026</v>
      </c>
    </row>
    <row r="34" spans="1:2" x14ac:dyDescent="0.25">
      <c r="A34" s="14" t="s">
        <v>2</v>
      </c>
      <c r="B34" s="16">
        <v>10</v>
      </c>
    </row>
    <row r="35" spans="1:2" x14ac:dyDescent="0.25">
      <c r="A35" s="14" t="s">
        <v>3</v>
      </c>
      <c r="B35" s="16">
        <f>(400000-B36*0)*(1+B37)^0</f>
        <v>400000</v>
      </c>
    </row>
    <row r="36" spans="1:2" x14ac:dyDescent="0.25">
      <c r="A36" s="14" t="s">
        <v>4</v>
      </c>
      <c r="B36" s="16">
        <v>16000</v>
      </c>
    </row>
    <row r="37" spans="1:2" x14ac:dyDescent="0.25">
      <c r="A37" s="14" t="s">
        <v>8</v>
      </c>
      <c r="B37" s="21">
        <v>0.02</v>
      </c>
    </row>
    <row r="38" spans="1:2" x14ac:dyDescent="0.25">
      <c r="A38" s="17"/>
      <c r="B38" s="21"/>
    </row>
    <row r="39" spans="1:2" x14ac:dyDescent="0.25">
      <c r="A39" s="19" t="s">
        <v>19</v>
      </c>
      <c r="B39" s="20"/>
    </row>
    <row r="40" spans="1:2" x14ac:dyDescent="0.25">
      <c r="A40" s="14" t="s">
        <v>0</v>
      </c>
      <c r="B40" s="16">
        <v>2036</v>
      </c>
    </row>
    <row r="41" spans="1:2" x14ac:dyDescent="0.25">
      <c r="A41" s="14" t="s">
        <v>1</v>
      </c>
      <c r="B41" s="16">
        <v>10</v>
      </c>
    </row>
    <row r="42" spans="1:2" x14ac:dyDescent="0.25">
      <c r="A42" s="14" t="s">
        <v>2</v>
      </c>
      <c r="B42" s="16">
        <v>20</v>
      </c>
    </row>
    <row r="43" spans="1:2" x14ac:dyDescent="0.25">
      <c r="A43" s="14" t="s">
        <v>3</v>
      </c>
      <c r="B43" s="16">
        <f>240000*1.02^(10+0)</f>
        <v>292558.66079874168</v>
      </c>
    </row>
    <row r="44" spans="1:2" x14ac:dyDescent="0.25">
      <c r="A44" s="14" t="s">
        <v>8</v>
      </c>
      <c r="B44" s="21">
        <v>0.02</v>
      </c>
    </row>
    <row r="45" spans="1:2" x14ac:dyDescent="0.25">
      <c r="A45" s="17"/>
      <c r="B45" s="21"/>
    </row>
    <row r="46" spans="1:2" x14ac:dyDescent="0.25">
      <c r="A46" s="19" t="s">
        <v>20</v>
      </c>
      <c r="B46" s="20"/>
    </row>
    <row r="47" spans="1:2" x14ac:dyDescent="0.25">
      <c r="A47" s="19"/>
      <c r="B47" s="20"/>
    </row>
    <row r="48" spans="1:2" x14ac:dyDescent="0.25">
      <c r="A48" s="14" t="s">
        <v>0</v>
      </c>
      <c r="B48" s="16">
        <v>2026</v>
      </c>
    </row>
    <row r="49" spans="1:2" x14ac:dyDescent="0.25">
      <c r="A49" s="14" t="s">
        <v>3</v>
      </c>
      <c r="B49" s="16">
        <f>(300000-0*B50+0^2*B51)*(1+B52)^0</f>
        <v>300000</v>
      </c>
    </row>
    <row r="50" spans="1:2" x14ac:dyDescent="0.25">
      <c r="A50" s="14" t="s">
        <v>4</v>
      </c>
      <c r="B50" s="16">
        <v>30000</v>
      </c>
    </row>
    <row r="51" spans="1:2" x14ac:dyDescent="0.25">
      <c r="A51" s="14" t="s">
        <v>11</v>
      </c>
      <c r="B51" s="16">
        <v>1500</v>
      </c>
    </row>
    <row r="52" spans="1:2" x14ac:dyDescent="0.25">
      <c r="A52" s="14" t="s">
        <v>8</v>
      </c>
      <c r="B52" s="21">
        <v>1.4999999999999999E-2</v>
      </c>
    </row>
    <row r="53" spans="1:2" ht="15.75" thickBot="1" x14ac:dyDescent="0.3">
      <c r="A53" s="22" t="s">
        <v>10</v>
      </c>
      <c r="B53" s="23">
        <v>2</v>
      </c>
    </row>
  </sheetData>
  <mergeCells count="5">
    <mergeCell ref="A18:B19"/>
    <mergeCell ref="A25:B25"/>
    <mergeCell ref="A32:B32"/>
    <mergeCell ref="A39:B39"/>
    <mergeCell ref="A46:B47"/>
  </mergeCells>
  <dataValidations disablePrompts="1" count="1">
    <dataValidation type="list" allowBlank="1" showInputMessage="1" showErrorMessage="1" sqref="A4:A5 A8:A10 A13:A16 A20:A23 A26:A30 A33:A37 A40:A44 A48:A53" xr:uid="{FF103844-55B3-4057-9B81-7361C7E923DA}">
      <formula1>"Gesamtlaufzeit,Inflation,Jahr,Einmalzahlung,1. Rate,Laufzeit,Vorlaufzeit,Abnahme pro Jahr,Zunahme pro Jahr,Zahltakt,Quadratische Steigerung,Steigerungsrate"</formula1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6446-2012-4DDF-A8D9-D1F15845DEB6}">
  <dimension ref="A1:B32"/>
  <sheetViews>
    <sheetView workbookViewId="0"/>
  </sheetViews>
  <sheetFormatPr baseColWidth="10" defaultRowHeight="15" x14ac:dyDescent="0.25"/>
  <cols>
    <col min="1" max="1" width="17.140625" bestFit="1" customWidth="1"/>
  </cols>
  <sheetData>
    <row r="1" spans="1:2" x14ac:dyDescent="0.25">
      <c r="A1" s="11" t="s">
        <v>22</v>
      </c>
    </row>
    <row r="2" spans="1:2" ht="15.75" thickBot="1" x14ac:dyDescent="0.3"/>
    <row r="3" spans="1:2" x14ac:dyDescent="0.25">
      <c r="A3" s="12" t="s">
        <v>12</v>
      </c>
      <c r="B3" s="13"/>
    </row>
    <row r="4" spans="1:2" x14ac:dyDescent="0.25">
      <c r="A4" s="14" t="s">
        <v>5</v>
      </c>
      <c r="B4" s="15">
        <v>0.03</v>
      </c>
    </row>
    <row r="5" spans="1:2" x14ac:dyDescent="0.25">
      <c r="A5" s="14" t="s">
        <v>9</v>
      </c>
      <c r="B5" s="16">
        <v>31</v>
      </c>
    </row>
    <row r="6" spans="1:2" x14ac:dyDescent="0.25">
      <c r="A6" s="17"/>
      <c r="B6" s="16"/>
    </row>
    <row r="7" spans="1:2" x14ac:dyDescent="0.25">
      <c r="A7" s="18" t="s">
        <v>21</v>
      </c>
      <c r="B7" s="16"/>
    </row>
    <row r="8" spans="1:2" x14ac:dyDescent="0.25">
      <c r="A8" s="14" t="s">
        <v>0</v>
      </c>
      <c r="B8" s="16">
        <v>2026</v>
      </c>
    </row>
    <row r="9" spans="1:2" x14ac:dyDescent="0.25">
      <c r="A9" s="14" t="s">
        <v>2</v>
      </c>
      <c r="B9" s="16">
        <v>15</v>
      </c>
    </row>
    <row r="10" spans="1:2" ht="15.75" thickBot="1" x14ac:dyDescent="0.3">
      <c r="A10" s="22" t="s">
        <v>3</v>
      </c>
      <c r="B10" s="23">
        <f>486400/B9</f>
        <v>32426.666666666668</v>
      </c>
    </row>
    <row r="18" ht="15" customHeight="1" x14ac:dyDescent="0.25"/>
    <row r="32" ht="15" customHeight="1" x14ac:dyDescent="0.25"/>
  </sheetData>
  <dataValidations disablePrompts="1" count="1">
    <dataValidation type="list" allowBlank="1" showInputMessage="1" showErrorMessage="1" sqref="A4:A5 A8:A10" xr:uid="{1669814E-CBAC-4B89-91DC-F8BCCE407609}">
      <formula1>"Gesamtlaufzeit,Inflation,Jahr,Einmalzahlung,1. Rate,Laufzeit,Vorlaufzeit,Abnahme pro Jahr,Zunahme pro Jahr,Zahltakt,Quadratische Steigerung,Steigerungsrate"</formula1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D5D1-D11D-4A88-83B6-5F0230F62FF4}">
  <dimension ref="A1:N56"/>
  <sheetViews>
    <sheetView workbookViewId="0">
      <selection activeCell="I22" sqref="I22"/>
    </sheetView>
  </sheetViews>
  <sheetFormatPr baseColWidth="10" defaultRowHeight="15" x14ac:dyDescent="0.25"/>
  <sheetData>
    <row r="1" spans="1:14" s="8" customFormat="1" ht="15.75" x14ac:dyDescent="0.25">
      <c r="A1" s="6" t="s">
        <v>15</v>
      </c>
      <c r="B1" s="7"/>
      <c r="C1" s="7"/>
      <c r="D1" s="7"/>
      <c r="E1" s="7"/>
      <c r="F1" s="7"/>
      <c r="H1" s="7"/>
      <c r="I1" s="7"/>
      <c r="J1" s="7"/>
      <c r="L1" s="9"/>
      <c r="N1" s="10"/>
    </row>
    <row r="2" spans="1:14" x14ac:dyDescent="0.25">
      <c r="A2" s="1">
        <v>43100</v>
      </c>
    </row>
    <row r="3" spans="1:14" x14ac:dyDescent="0.25">
      <c r="A3" s="2" t="s">
        <v>13</v>
      </c>
    </row>
    <row r="4" spans="1:14" x14ac:dyDescent="0.25">
      <c r="A4" s="3" t="s">
        <v>14</v>
      </c>
    </row>
    <row r="5" spans="1:14" x14ac:dyDescent="0.25">
      <c r="A5" s="4">
        <v>0</v>
      </c>
    </row>
    <row r="6" spans="1:14" x14ac:dyDescent="0.25">
      <c r="A6" s="5">
        <v>2.0899999999999998E-2</v>
      </c>
    </row>
    <row r="7" spans="1:14" x14ac:dyDescent="0.25">
      <c r="A7" s="5">
        <v>2.1700000000000001E-2</v>
      </c>
    </row>
    <row r="8" spans="1:14" x14ac:dyDescent="0.25">
      <c r="A8" s="5">
        <v>2.3199999999999998E-2</v>
      </c>
    </row>
    <row r="9" spans="1:14" x14ac:dyDescent="0.25">
      <c r="A9" s="5">
        <v>2.4799999999999999E-2</v>
      </c>
    </row>
    <row r="10" spans="1:14" x14ac:dyDescent="0.25">
      <c r="A10" s="5">
        <v>2.63E-2</v>
      </c>
    </row>
    <row r="11" spans="1:14" x14ac:dyDescent="0.25">
      <c r="A11" s="5">
        <v>2.7900000000000001E-2</v>
      </c>
    </row>
    <row r="12" spans="1:14" x14ac:dyDescent="0.25">
      <c r="A12" s="5">
        <v>2.9300000000000003E-2</v>
      </c>
    </row>
    <row r="13" spans="1:14" x14ac:dyDescent="0.25">
      <c r="A13" s="5">
        <v>3.0699999999999998E-2</v>
      </c>
    </row>
    <row r="14" spans="1:14" x14ac:dyDescent="0.25">
      <c r="A14" s="5">
        <v>3.1899999999999998E-2</v>
      </c>
    </row>
    <row r="15" spans="1:14" x14ac:dyDescent="0.25">
      <c r="A15" s="5">
        <v>3.3000000000000002E-2</v>
      </c>
    </row>
    <row r="16" spans="1:14" x14ac:dyDescent="0.25">
      <c r="A16" s="5">
        <v>3.4000000000000002E-2</v>
      </c>
    </row>
    <row r="17" spans="1:1" x14ac:dyDescent="0.25">
      <c r="A17" s="5">
        <v>3.4799999999999998E-2</v>
      </c>
    </row>
    <row r="18" spans="1:1" x14ac:dyDescent="0.25">
      <c r="A18" s="5">
        <v>3.56E-2</v>
      </c>
    </row>
    <row r="19" spans="1:1" x14ac:dyDescent="0.25">
      <c r="A19" s="5">
        <v>3.6200000000000003E-2</v>
      </c>
    </row>
    <row r="20" spans="1:1" x14ac:dyDescent="0.25">
      <c r="A20" s="5">
        <v>3.6799999999999999E-2</v>
      </c>
    </row>
    <row r="21" spans="1:1" x14ac:dyDescent="0.25">
      <c r="A21" s="5">
        <v>3.7000000000000005E-2</v>
      </c>
    </row>
    <row r="22" spans="1:1" x14ac:dyDescent="0.25">
      <c r="A22" s="5">
        <v>3.73E-2</v>
      </c>
    </row>
    <row r="23" spans="1:1" x14ac:dyDescent="0.25">
      <c r="A23" s="5">
        <v>3.7499999999999999E-2</v>
      </c>
    </row>
    <row r="24" spans="1:1" x14ac:dyDescent="0.25">
      <c r="A24" s="5">
        <v>3.7699999999999997E-2</v>
      </c>
    </row>
    <row r="25" spans="1:1" x14ac:dyDescent="0.25">
      <c r="A25" s="5">
        <v>3.7900000000000003E-2</v>
      </c>
    </row>
    <row r="26" spans="1:1" x14ac:dyDescent="0.25">
      <c r="A26" s="5">
        <v>3.78E-2</v>
      </c>
    </row>
    <row r="27" spans="1:1" x14ac:dyDescent="0.25">
      <c r="A27" s="5">
        <v>3.78E-2</v>
      </c>
    </row>
    <row r="28" spans="1:1" x14ac:dyDescent="0.25">
      <c r="A28" s="5">
        <v>3.7699999999999997E-2</v>
      </c>
    </row>
    <row r="29" spans="1:1" x14ac:dyDescent="0.25">
      <c r="A29" s="5">
        <v>3.7699999999999997E-2</v>
      </c>
    </row>
    <row r="30" spans="1:1" x14ac:dyDescent="0.25">
      <c r="A30" s="5">
        <v>3.7699999999999997E-2</v>
      </c>
    </row>
    <row r="31" spans="1:1" x14ac:dyDescent="0.25">
      <c r="A31" s="5">
        <v>3.7499999999999999E-2</v>
      </c>
    </row>
    <row r="32" spans="1:1" x14ac:dyDescent="0.25">
      <c r="A32" s="5">
        <v>3.7400000000000003E-2</v>
      </c>
    </row>
    <row r="33" spans="1:1" x14ac:dyDescent="0.25">
      <c r="A33" s="5">
        <v>3.73E-2</v>
      </c>
    </row>
    <row r="34" spans="1:1" x14ac:dyDescent="0.25">
      <c r="A34" s="5">
        <v>3.7200000000000004E-2</v>
      </c>
    </row>
    <row r="35" spans="1:1" x14ac:dyDescent="0.25">
      <c r="A35" s="5">
        <v>3.7100000000000001E-2</v>
      </c>
    </row>
    <row r="36" spans="1:1" x14ac:dyDescent="0.25">
      <c r="A36" s="5">
        <v>3.7000000000000005E-2</v>
      </c>
    </row>
    <row r="37" spans="1:1" x14ac:dyDescent="0.25">
      <c r="A37" s="5">
        <v>3.6900000000000002E-2</v>
      </c>
    </row>
    <row r="38" spans="1:1" x14ac:dyDescent="0.25">
      <c r="A38" s="5">
        <v>3.6799999999999999E-2</v>
      </c>
    </row>
    <row r="39" spans="1:1" x14ac:dyDescent="0.25">
      <c r="A39" s="5">
        <v>3.6699999999999997E-2</v>
      </c>
    </row>
    <row r="40" spans="1:1" x14ac:dyDescent="0.25">
      <c r="A40" s="5">
        <v>3.6600000000000001E-2</v>
      </c>
    </row>
    <row r="41" spans="1:1" x14ac:dyDescent="0.25">
      <c r="A41" s="5">
        <v>3.6600000000000001E-2</v>
      </c>
    </row>
    <row r="42" spans="1:1" x14ac:dyDescent="0.25">
      <c r="A42" s="5">
        <v>3.6499999999999998E-2</v>
      </c>
    </row>
    <row r="43" spans="1:1" x14ac:dyDescent="0.25">
      <c r="A43" s="5">
        <v>3.6400000000000002E-2</v>
      </c>
    </row>
    <row r="44" spans="1:1" x14ac:dyDescent="0.25">
      <c r="A44" s="5">
        <v>3.6400000000000002E-2</v>
      </c>
    </row>
    <row r="45" spans="1:1" x14ac:dyDescent="0.25">
      <c r="A45" s="5">
        <v>3.6299999999999999E-2</v>
      </c>
    </row>
    <row r="46" spans="1:1" x14ac:dyDescent="0.25">
      <c r="A46" s="5">
        <v>3.6200000000000003E-2</v>
      </c>
    </row>
    <row r="47" spans="1:1" x14ac:dyDescent="0.25">
      <c r="A47" s="5">
        <v>3.6200000000000003E-2</v>
      </c>
    </row>
    <row r="48" spans="1:1" x14ac:dyDescent="0.25">
      <c r="A48" s="5">
        <v>3.6200000000000003E-2</v>
      </c>
    </row>
    <row r="49" spans="1:1" x14ac:dyDescent="0.25">
      <c r="A49" s="5">
        <v>3.61E-2</v>
      </c>
    </row>
    <row r="50" spans="1:1" x14ac:dyDescent="0.25">
      <c r="A50" s="5">
        <v>3.61E-2</v>
      </c>
    </row>
    <row r="51" spans="1:1" x14ac:dyDescent="0.25">
      <c r="A51" s="5">
        <v>3.6000000000000004E-2</v>
      </c>
    </row>
    <row r="52" spans="1:1" x14ac:dyDescent="0.25">
      <c r="A52" s="5">
        <v>3.6000000000000004E-2</v>
      </c>
    </row>
    <row r="53" spans="1:1" x14ac:dyDescent="0.25">
      <c r="A53" s="5">
        <v>3.6000000000000004E-2</v>
      </c>
    </row>
    <row r="54" spans="1:1" x14ac:dyDescent="0.25">
      <c r="A54" s="5">
        <v>3.5900000000000001E-2</v>
      </c>
    </row>
    <row r="55" spans="1:1" x14ac:dyDescent="0.25">
      <c r="A55" s="5">
        <v>3.5900000000000001E-2</v>
      </c>
    </row>
    <row r="56" spans="1:1" x14ac:dyDescent="0.25">
      <c r="A56" s="5">
        <v>3.5900000000000001E-2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Ab 4.7 (3%)</vt:lpstr>
      <vt:lpstr>Ab 4.7 variabel</vt:lpstr>
      <vt:lpstr>Ab. 5.2</vt:lpstr>
      <vt:lpstr>Zinssatzverlauf</vt:lpstr>
      <vt:lpstr>'Ab 4.7 (3%)'!clipboard</vt:lpstr>
      <vt:lpstr>'Ab 4.7 variabel'!clipboard</vt:lpstr>
      <vt:lpstr>'Ab. 5.2'!clipboard</vt:lpstr>
    </vt:vector>
  </TitlesOfParts>
  <Company>FH Aachen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Höttges, Jörg</dc:creator>
  <cp:lastModifiedBy>Höttges, Jörg</cp:lastModifiedBy>
  <dcterms:created xsi:type="dcterms:W3CDTF">2026-04-24T10:10:20Z</dcterms:created>
  <dcterms:modified xsi:type="dcterms:W3CDTF">2026-04-28T05:52:50Z</dcterms:modified>
</cp:coreProperties>
</file>