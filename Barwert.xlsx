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FHAC\Bayernallee\Verwaltung\Kommissionen\DWA\WI 2\bearbeitungen\b260511\"/>
    </mc:Choice>
  </mc:AlternateContent>
  <xr:revisionPtr revIDLastSave="0" documentId="13_ncr:1_{98D46F9C-79CA-4D34-A930-C0BF5940BEAB}" xr6:coauthVersionLast="36" xr6:coauthVersionMax="36" xr10:uidLastSave="{00000000-0000-0000-0000-000000000000}"/>
  <bookViews>
    <workbookView xWindow="0" yWindow="0" windowWidth="57600" windowHeight="29700" xr2:uid="{3C469100-3F29-4E6C-AF5C-FA68EBCBD28B}"/>
  </bookViews>
  <sheets>
    <sheet name="Ab 4.7 (3%)" sheetId="9" r:id="rId1"/>
    <sheet name="Ab 4.7 variabel" sheetId="1" r:id="rId2"/>
    <sheet name="Ab. 5.2" sheetId="8" r:id="rId3"/>
    <sheet name="Zinssatzverlauf" sheetId="7" r:id="rId4"/>
  </sheets>
  <definedNames>
    <definedName name="clipboard" localSheetId="0">'Ab 4.7 (3%)'!#REF!</definedName>
    <definedName name="clipboard" localSheetId="1">'Ab 4.7 variabel'!$A$3:$B$53</definedName>
    <definedName name="clipboard" localSheetId="2">'Ab. 5.2'!$A$3:$B$10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8" l="1"/>
  <c r="B4" i="1" l="1"/>
  <c r="B22" i="1" l="1"/>
  <c r="B29" i="1"/>
  <c r="B35" i="1"/>
  <c r="B43" i="1"/>
  <c r="B49" i="1"/>
  <c r="B30" i="1"/>
</calcChain>
</file>

<file path=xl/sharedStrings.xml><?xml version="1.0" encoding="utf-8"?>
<sst xmlns="http://schemas.openxmlformats.org/spreadsheetml/2006/main" count="89" uniqueCount="46">
  <si>
    <t>Jahr</t>
  </si>
  <si>
    <t>Vorlaufzeit</t>
  </si>
  <si>
    <t>Laufzeit</t>
  </si>
  <si>
    <t>1. Rate</t>
  </si>
  <si>
    <t>Abnahme pro Jahr</t>
  </si>
  <si>
    <t>Inflation</t>
  </si>
  <si>
    <t>1 Pacht: 10'000 m² · 15 €/m²</t>
  </si>
  <si>
    <t>2 Verkauf Altanlage</t>
  </si>
  <si>
    <t>Steigerungsrate</t>
  </si>
  <si>
    <t>Gesamtlaufzeit</t>
  </si>
  <si>
    <t>Zahltakt</t>
  </si>
  <si>
    <t>Quadratische Steigerung</t>
  </si>
  <si>
    <t>Allgemeine Parameter:</t>
  </si>
  <si>
    <t>Zinssatz</t>
  </si>
  <si>
    <r>
      <t>i</t>
    </r>
    <r>
      <rPr>
        <b/>
        <i/>
        <vertAlign val="subscript"/>
        <sz val="10"/>
        <rFont val="Arial"/>
        <family val="2"/>
      </rPr>
      <t>t</t>
    </r>
  </si>
  <si>
    <t>Abzinsungssätze gemäß RückAbzinsV (Deutsche Bundesbank)</t>
  </si>
  <si>
    <t>3a Kapitaldienst Erstinvest (70%):</t>
  </si>
  <si>
    <t>3b Kapitaldienst Teilreplikation</t>
  </si>
  <si>
    <t>4a Personalrückgang 10B -&gt; 6B</t>
  </si>
  <si>
    <t>4b Personal 6B à 40000 €/B</t>
  </si>
  <si>
    <t>5 Instandhaltung &amp; Optimierung</t>
  </si>
  <si>
    <t>1 Erstinvest alle Pos. Tilgung</t>
  </si>
  <si>
    <t>Beispielprojekt gem. DWA-M 816</t>
  </si>
  <si>
    <t>Beispielprojekt gem. DWA-M 816 mit var. Zinssatzverlauf</t>
  </si>
  <si>
    <t>Abzinsung</t>
  </si>
  <si>
    <t>Abzinsungsreihe</t>
  </si>
  <si>
    <t>Allgemeine Parameter</t>
  </si>
  <si>
    <t>Pacht</t>
  </si>
  <si>
    <t>Verkauf Altanlage</t>
  </si>
  <si>
    <t>3a</t>
  </si>
  <si>
    <t>3b</t>
  </si>
  <si>
    <t>4a</t>
  </si>
  <si>
    <t>Personalrückgang</t>
  </si>
  <si>
    <t>4b</t>
  </si>
  <si>
    <t>Personalstandard</t>
  </si>
  <si>
    <t>Instandhaltung&amp;Optimierung</t>
  </si>
  <si>
    <t>Kapitaldienst Erstinvest</t>
  </si>
  <si>
    <t>Kapitaldienst Teilreplikation</t>
  </si>
  <si>
    <t>Barwert:</t>
  </si>
  <si>
    <t>Instandhaltung&amp;Optimierung:</t>
  </si>
  <si>
    <t>Pacht:</t>
  </si>
  <si>
    <t>Verkauf Altanlage:</t>
  </si>
  <si>
    <t>Kapitaldienst Erstinvest:</t>
  </si>
  <si>
    <t>Kapitaldienst Teilreplikation:</t>
  </si>
  <si>
    <t>Personalrückgang:</t>
  </si>
  <si>
    <t>Personalstandard: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</si>
</sst>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b/>
      <i/>
      <vertAlign val="subscript"/>
      <sz val="10"/>
      <name val="Arial"/>
      <family val="2"/>
    </font>
    <font>
      <i/>
      <sz val="10"/>
      <color indexed="8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38">
    <xf numFmtId="0" fontId="0" fillId="0" borderId="0" xfId="0"/>
    <xf numFmtId="14" fontId="3" fillId="0" borderId="0" xfId="1" applyNumberFormat="1" applyFont="1" applyAlignment="1">
      <alignment horizontal="right"/>
    </xf>
    <xf numFmtId="0" fontId="3" fillId="0" borderId="0" xfId="1" applyFont="1" applyAlignment="1">
      <alignment horizontal="right"/>
    </xf>
    <xf numFmtId="0" fontId="5" fillId="0" borderId="0" xfId="2" applyFont="1" applyFill="1" applyAlignment="1">
      <alignment horizontal="right"/>
    </xf>
    <xf numFmtId="10" fontId="7" fillId="0" borderId="0" xfId="1" applyNumberFormat="1" applyFont="1"/>
    <xf numFmtId="10" fontId="3" fillId="0" borderId="0" xfId="1" applyNumberFormat="1" applyFont="1"/>
    <xf numFmtId="0" fontId="8" fillId="0" borderId="0" xfId="2" applyFont="1"/>
    <xf numFmtId="0" fontId="4" fillId="0" borderId="0" xfId="2"/>
    <xf numFmtId="0" fontId="2" fillId="0" borderId="0" xfId="1"/>
    <xf numFmtId="0" fontId="4" fillId="0" borderId="0" xfId="2" applyFill="1"/>
    <xf numFmtId="0" fontId="3" fillId="0" borderId="0" xfId="1" applyFont="1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2" borderId="3" xfId="0" applyFill="1" applyBorder="1"/>
    <xf numFmtId="9" fontId="0" fillId="0" borderId="4" xfId="0" applyNumberFormat="1" applyBorder="1"/>
    <xf numFmtId="0" fontId="0" fillId="0" borderId="4" xfId="0" applyBorder="1"/>
    <xf numFmtId="0" fontId="0" fillId="0" borderId="3" xfId="0" applyBorder="1"/>
    <xf numFmtId="0" fontId="1" fillId="0" borderId="3" xfId="0" applyFont="1" applyBorder="1"/>
    <xf numFmtId="10" fontId="0" fillId="0" borderId="4" xfId="0" applyNumberFormat="1" applyBorder="1"/>
    <xf numFmtId="0" fontId="0" fillId="2" borderId="5" xfId="0" applyFill="1" applyBorder="1"/>
    <xf numFmtId="0" fontId="0" fillId="0" borderId="6" xfId="0" applyBorder="1"/>
    <xf numFmtId="49" fontId="0" fillId="0" borderId="0" xfId="0" applyNumberFormat="1"/>
    <xf numFmtId="0" fontId="0" fillId="0" borderId="0" xfId="0" applyBorder="1"/>
    <xf numFmtId="9" fontId="0" fillId="0" borderId="0" xfId="0" applyNumberFormat="1" applyBorder="1"/>
    <xf numFmtId="0" fontId="0" fillId="2" borderId="0" xfId="0" applyFill="1" applyBorder="1"/>
    <xf numFmtId="0" fontId="1" fillId="0" borderId="3" xfId="0" applyFont="1" applyBorder="1" applyAlignment="1">
      <alignment vertical="top" wrapText="1"/>
    </xf>
    <xf numFmtId="0" fontId="1" fillId="0" borderId="4" xfId="0" applyFont="1" applyBorder="1" applyAlignment="1"/>
    <xf numFmtId="0" fontId="0" fillId="0" borderId="1" xfId="0" applyBorder="1"/>
    <xf numFmtId="0" fontId="0" fillId="0" borderId="7" xfId="0" applyBorder="1"/>
    <xf numFmtId="0" fontId="0" fillId="2" borderId="7" xfId="0" applyFill="1" applyBorder="1"/>
    <xf numFmtId="49" fontId="0" fillId="0" borderId="3" xfId="0" applyNumberFormat="1" applyBorder="1"/>
    <xf numFmtId="0" fontId="0" fillId="2" borderId="4" xfId="0" applyFill="1" applyBorder="1"/>
    <xf numFmtId="10" fontId="0" fillId="0" borderId="0" xfId="0" applyNumberFormat="1" applyBorder="1"/>
    <xf numFmtId="49" fontId="0" fillId="0" borderId="5" xfId="0" applyNumberFormat="1" applyBorder="1"/>
    <xf numFmtId="0" fontId="0" fillId="0" borderId="8" xfId="0" applyBorder="1"/>
    <xf numFmtId="10" fontId="0" fillId="0" borderId="8" xfId="0" applyNumberFormat="1" applyBorder="1"/>
    <xf numFmtId="0" fontId="9" fillId="0" borderId="0" xfId="0" applyFont="1"/>
  </cellXfs>
  <cellStyles count="3">
    <cellStyle name="Standard" xfId="0" builtinId="0"/>
    <cellStyle name="Standard 2 2 2 2" xfId="2" xr:uid="{D030B38B-FE03-4AC2-8D58-8495D3729F20}"/>
    <cellStyle name="Standard 2 3 2" xfId="1" xr:uid="{06560668-7E76-4821-8F4C-37339E6259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1095374</xdr:colOff>
      <xdr:row>4</xdr:row>
      <xdr:rowOff>0</xdr:rowOff>
    </xdr:from>
    <xdr:to>
      <xdr:col>16</xdr:col>
      <xdr:colOff>457199</xdr:colOff>
      <xdr:row>9</xdr:row>
      <xdr:rowOff>180976</xdr:rowOff>
    </xdr:to>
    <xdr:sp macro="" textlink="">
      <xdr:nvSpPr>
        <xdr:cNvPr id="2" name="Sprechblase: rechteckig mit abgerundeten Ecken 1">
          <a:extLst>
            <a:ext uri="{FF2B5EF4-FFF2-40B4-BE49-F238E27FC236}">
              <a16:creationId xmlns:a16="http://schemas.microsoft.com/office/drawing/2014/main" id="{48DF4332-DE31-4903-848A-074DD6133190}"/>
            </a:ext>
          </a:extLst>
        </xdr:cNvPr>
        <xdr:cNvSpPr/>
      </xdr:nvSpPr>
      <xdr:spPr>
        <a:xfrm>
          <a:off x="11201399" y="781050"/>
          <a:ext cx="3724275" cy="1133476"/>
        </a:xfrm>
        <a:prstGeom prst="wedgeRoundRectCallout">
          <a:avLst>
            <a:gd name="adj1" fmla="val -66897"/>
            <a:gd name="adj2" fmla="val -15070"/>
            <a:gd name="adj3" fmla="val 16667"/>
          </a:avLst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400"/>
            <a:t>1. Umrahmten</a:t>
          </a:r>
          <a:r>
            <a:rPr lang="de-DE" sz="1400" baseline="0"/>
            <a:t> Bereich kopieren (Strg + c)</a:t>
          </a:r>
        </a:p>
        <a:p>
          <a:pPr algn="l"/>
          <a:r>
            <a:rPr lang="de-DE" sz="1400" baseline="0"/>
            <a:t>2. Python-Programm starten</a:t>
          </a:r>
        </a:p>
        <a:p>
          <a:pPr algn="l"/>
          <a:r>
            <a:rPr lang="de-DE" sz="1400" baseline="0"/>
            <a:t>3. Schaltfläche anklicken</a:t>
          </a:r>
        </a:p>
        <a:p>
          <a:pPr algn="l"/>
          <a:r>
            <a:rPr lang="de-DE" sz="1400" baseline="0"/>
            <a:t>     ...</a:t>
          </a:r>
          <a:endParaRPr lang="de-DE" sz="1400"/>
        </a:p>
      </xdr:txBody>
    </xdr:sp>
    <xdr:clientData/>
  </xdr:twoCellAnchor>
  <xdr:twoCellAnchor>
    <xdr:from>
      <xdr:col>7</xdr:col>
      <xdr:colOff>180975</xdr:colOff>
      <xdr:row>19</xdr:row>
      <xdr:rowOff>9525</xdr:rowOff>
    </xdr:from>
    <xdr:to>
      <xdr:col>16</xdr:col>
      <xdr:colOff>476250</xdr:colOff>
      <xdr:row>23</xdr:row>
      <xdr:rowOff>133350</xdr:rowOff>
    </xdr:to>
    <xdr:sp macro="" textlink="">
      <xdr:nvSpPr>
        <xdr:cNvPr id="3" name="Sprechblase: rechteckig mit abgerundeten Ecken 2">
          <a:extLst>
            <a:ext uri="{FF2B5EF4-FFF2-40B4-BE49-F238E27FC236}">
              <a16:creationId xmlns:a16="http://schemas.microsoft.com/office/drawing/2014/main" id="{2E3DFBB5-D034-48E2-B95D-A469270CE03D}"/>
            </a:ext>
          </a:extLst>
        </xdr:cNvPr>
        <xdr:cNvSpPr/>
      </xdr:nvSpPr>
      <xdr:spPr>
        <a:xfrm>
          <a:off x="6067425" y="3657600"/>
          <a:ext cx="8877300" cy="885825"/>
        </a:xfrm>
        <a:prstGeom prst="wedgeRoundRectCallout">
          <a:avLst>
            <a:gd name="adj1" fmla="val -66897"/>
            <a:gd name="adj2" fmla="val -15070"/>
            <a:gd name="adj3" fmla="val 16667"/>
          </a:avLst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400" baseline="0"/>
            <a:t>     ...</a:t>
          </a:r>
        </a:p>
        <a:p>
          <a:pPr algn="l"/>
          <a:r>
            <a:rPr lang="de-DE" sz="1400" baseline="0"/>
            <a:t>4. Berechnungsergebnis einfügen (Strg + v)</a:t>
          </a:r>
        </a:p>
        <a:p>
          <a:pPr algn="l"/>
          <a:r>
            <a:rPr lang="de-DE" sz="1400" baseline="0"/>
            <a:t>5. Ausführliche Berechnung in Datei: </a:t>
          </a:r>
          <a:r>
            <a:rPr lang="de-DE" sz="1400" baseline="0">
              <a:latin typeface="Lucida Console" panose="020B0609040504020204" pitchFamily="49" charset="0"/>
            </a:rPr>
            <a:t>C:\Users\hoettges\Documents\kvr.txt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3CB0-2E5A-4486-BE74-600EE477CA3F}">
  <sheetPr codeName="Tabelle1"/>
  <dimension ref="B2:K33"/>
  <sheetViews>
    <sheetView tabSelected="1" zoomScaleNormal="100" workbookViewId="0">
      <pane ySplit="17" topLeftCell="A18" activePane="bottomLeft" state="frozen"/>
      <selection pane="bottomLeft" activeCell="E36" sqref="E36"/>
    </sheetView>
  </sheetViews>
  <sheetFormatPr baseColWidth="10" defaultRowHeight="15" x14ac:dyDescent="0.25"/>
  <cols>
    <col min="1" max="2" width="6.42578125" customWidth="1"/>
    <col min="3" max="3" width="28" bestFit="1" customWidth="1"/>
    <col min="4" max="4" width="14.42578125" bestFit="1" customWidth="1"/>
    <col min="5" max="5" width="10.140625" bestFit="1" customWidth="1"/>
    <col min="6" max="6" width="12" bestFit="1" customWidth="1"/>
    <col min="7" max="7" width="10.85546875" bestFit="1" customWidth="1"/>
    <col min="8" max="8" width="17.140625" bestFit="1" customWidth="1"/>
    <col min="9" max="9" width="15" bestFit="1" customWidth="1"/>
    <col min="10" max="10" width="23" bestFit="1" customWidth="1"/>
    <col min="11" max="11" width="8.140625" bestFit="1" customWidth="1"/>
    <col min="12" max="12" width="23" bestFit="1" customWidth="1"/>
    <col min="13" max="13" width="8.140625" bestFit="1" customWidth="1"/>
  </cols>
  <sheetData>
    <row r="2" spans="2:11" ht="15.75" x14ac:dyDescent="0.25">
      <c r="B2" s="37" t="s">
        <v>22</v>
      </c>
    </row>
    <row r="3" spans="2:11" ht="15.75" thickBot="1" x14ac:dyDescent="0.3"/>
    <row r="4" spans="2:11" x14ac:dyDescent="0.25">
      <c r="B4" s="28"/>
      <c r="C4" s="29"/>
      <c r="D4" s="30" t="s">
        <v>9</v>
      </c>
      <c r="E4" s="30" t="s">
        <v>24</v>
      </c>
      <c r="F4" s="29"/>
      <c r="G4" s="29"/>
      <c r="H4" s="29"/>
      <c r="I4" s="29"/>
      <c r="J4" s="29"/>
      <c r="K4" s="13"/>
    </row>
    <row r="5" spans="2:11" x14ac:dyDescent="0.25">
      <c r="B5" s="17" t="s">
        <v>26</v>
      </c>
      <c r="D5" s="23">
        <v>30</v>
      </c>
      <c r="E5" s="24">
        <v>0.03</v>
      </c>
      <c r="F5" s="23"/>
      <c r="G5" s="23"/>
      <c r="H5" s="23"/>
      <c r="I5" s="23"/>
      <c r="J5" s="23"/>
      <c r="K5" s="16"/>
    </row>
    <row r="6" spans="2:11" x14ac:dyDescent="0.25">
      <c r="B6" s="31"/>
      <c r="C6" s="23"/>
      <c r="D6" s="23"/>
      <c r="E6" s="23"/>
      <c r="F6" s="23"/>
      <c r="G6" s="23"/>
      <c r="H6" s="23"/>
      <c r="I6" s="23"/>
      <c r="J6" s="23"/>
      <c r="K6" s="16"/>
    </row>
    <row r="7" spans="2:11" x14ac:dyDescent="0.25">
      <c r="B7" s="17"/>
      <c r="C7" s="23"/>
      <c r="D7" s="25" t="s">
        <v>0</v>
      </c>
      <c r="E7" s="25" t="s">
        <v>2</v>
      </c>
      <c r="F7" s="25" t="s">
        <v>3</v>
      </c>
      <c r="G7" s="25" t="s">
        <v>1</v>
      </c>
      <c r="H7" s="25" t="s">
        <v>4</v>
      </c>
      <c r="I7" s="25" t="s">
        <v>8</v>
      </c>
      <c r="J7" s="25" t="s">
        <v>11</v>
      </c>
      <c r="K7" s="32" t="s">
        <v>10</v>
      </c>
    </row>
    <row r="8" spans="2:11" x14ac:dyDescent="0.25">
      <c r="B8" s="31">
        <v>1</v>
      </c>
      <c r="C8" s="23" t="s">
        <v>27</v>
      </c>
      <c r="D8" s="23">
        <v>2026</v>
      </c>
      <c r="E8" s="23">
        <v>30</v>
      </c>
      <c r="F8" s="23">
        <v>150000</v>
      </c>
      <c r="G8" s="23"/>
      <c r="H8" s="23"/>
      <c r="I8" s="23"/>
      <c r="J8" s="23"/>
      <c r="K8" s="16"/>
    </row>
    <row r="9" spans="2:11" x14ac:dyDescent="0.25">
      <c r="B9" s="31">
        <v>2</v>
      </c>
      <c r="C9" s="23" t="s">
        <v>28</v>
      </c>
      <c r="D9" s="23">
        <v>2026</v>
      </c>
      <c r="E9" s="23">
        <v>1</v>
      </c>
      <c r="F9" s="23">
        <v>-1000000</v>
      </c>
      <c r="G9" s="23">
        <v>3</v>
      </c>
      <c r="H9" s="23"/>
      <c r="I9" s="23"/>
      <c r="J9" s="23"/>
      <c r="K9" s="16"/>
    </row>
    <row r="10" spans="2:11" x14ac:dyDescent="0.25">
      <c r="B10" s="31" t="s">
        <v>29</v>
      </c>
      <c r="C10" s="23" t="s">
        <v>36</v>
      </c>
      <c r="D10" s="23">
        <v>2026</v>
      </c>
      <c r="E10" s="23">
        <v>20</v>
      </c>
      <c r="F10" s="23">
        <v>526400</v>
      </c>
      <c r="G10" s="23"/>
      <c r="H10" s="23">
        <v>8400</v>
      </c>
      <c r="I10" s="23"/>
      <c r="J10" s="23"/>
      <c r="K10" s="16"/>
    </row>
    <row r="11" spans="2:11" x14ac:dyDescent="0.25">
      <c r="B11" s="31" t="s">
        <v>30</v>
      </c>
      <c r="C11" s="23" t="s">
        <v>37</v>
      </c>
      <c r="D11" s="23">
        <v>2026</v>
      </c>
      <c r="E11" s="23">
        <v>4</v>
      </c>
      <c r="F11" s="23">
        <v>1212990.3160342509</v>
      </c>
      <c r="G11" s="23">
        <v>25</v>
      </c>
      <c r="H11" s="23">
        <v>23215.12566572729</v>
      </c>
      <c r="I11" s="23"/>
      <c r="J11" s="23"/>
      <c r="K11" s="16"/>
    </row>
    <row r="12" spans="2:11" x14ac:dyDescent="0.25">
      <c r="B12" s="31" t="s">
        <v>31</v>
      </c>
      <c r="C12" s="23" t="s">
        <v>32</v>
      </c>
      <c r="D12" s="23">
        <v>2026</v>
      </c>
      <c r="E12" s="23">
        <v>10</v>
      </c>
      <c r="F12" s="23">
        <v>400000</v>
      </c>
      <c r="G12" s="23"/>
      <c r="H12" s="23">
        <v>16000</v>
      </c>
      <c r="I12" s="33">
        <v>0.02</v>
      </c>
      <c r="J12" s="23"/>
      <c r="K12" s="16"/>
    </row>
    <row r="13" spans="2:11" x14ac:dyDescent="0.25">
      <c r="B13" s="31" t="s">
        <v>33</v>
      </c>
      <c r="C13" s="23" t="s">
        <v>34</v>
      </c>
      <c r="D13" s="23">
        <v>2036</v>
      </c>
      <c r="E13" s="23">
        <v>20</v>
      </c>
      <c r="F13" s="23">
        <v>292558.66079874168</v>
      </c>
      <c r="G13" s="23">
        <v>10</v>
      </c>
      <c r="H13" s="23"/>
      <c r="I13" s="33">
        <v>0.02</v>
      </c>
      <c r="J13" s="23"/>
      <c r="K13" s="16"/>
    </row>
    <row r="14" spans="2:11" ht="15.75" thickBot="1" x14ac:dyDescent="0.3">
      <c r="B14" s="34">
        <v>5</v>
      </c>
      <c r="C14" s="35" t="s">
        <v>35</v>
      </c>
      <c r="D14" s="35">
        <v>2026</v>
      </c>
      <c r="E14" s="35"/>
      <c r="F14" s="35">
        <v>300000</v>
      </c>
      <c r="G14" s="35"/>
      <c r="H14" s="35">
        <v>30000</v>
      </c>
      <c r="I14" s="36">
        <v>1.4999999999999999E-2</v>
      </c>
      <c r="J14" s="35">
        <v>1500</v>
      </c>
      <c r="K14" s="21">
        <v>2</v>
      </c>
    </row>
    <row r="15" spans="2:11" x14ac:dyDescent="0.25">
      <c r="B15" s="22"/>
    </row>
    <row r="19" spans="2:4" ht="15" customHeight="1" x14ac:dyDescent="0.25"/>
    <row r="20" spans="2:4" x14ac:dyDescent="0.25">
      <c r="B20" s="22">
        <v>1</v>
      </c>
      <c r="C20" t="s">
        <v>40</v>
      </c>
      <c r="D20">
        <v>2940066.2</v>
      </c>
    </row>
    <row r="21" spans="2:4" x14ac:dyDescent="0.25">
      <c r="B21" s="22">
        <v>2</v>
      </c>
      <c r="C21" t="s">
        <v>41</v>
      </c>
      <c r="D21">
        <v>-888487.05</v>
      </c>
    </row>
    <row r="22" spans="2:4" x14ac:dyDescent="0.25">
      <c r="B22" s="22" t="s">
        <v>29</v>
      </c>
      <c r="C22" t="s">
        <v>42</v>
      </c>
      <c r="D22">
        <v>6641423.2400000002</v>
      </c>
    </row>
    <row r="23" spans="2:4" x14ac:dyDescent="0.25">
      <c r="B23" s="22" t="s">
        <v>30</v>
      </c>
      <c r="C23" t="s">
        <v>43</v>
      </c>
      <c r="D23">
        <v>2051917.56</v>
      </c>
    </row>
    <row r="24" spans="2:4" x14ac:dyDescent="0.25">
      <c r="B24" s="22" t="s">
        <v>31</v>
      </c>
      <c r="C24" t="s">
        <v>44</v>
      </c>
      <c r="D24">
        <v>2970365.76</v>
      </c>
    </row>
    <row r="25" spans="2:4" x14ac:dyDescent="0.25">
      <c r="B25" s="22" t="s">
        <v>33</v>
      </c>
      <c r="C25" t="s">
        <v>45</v>
      </c>
      <c r="D25">
        <v>3936123.06</v>
      </c>
    </row>
    <row r="26" spans="2:4" x14ac:dyDescent="0.25">
      <c r="B26" s="22">
        <v>5</v>
      </c>
      <c r="C26" t="s">
        <v>39</v>
      </c>
      <c r="D26">
        <v>3551986.9</v>
      </c>
    </row>
    <row r="28" spans="2:4" x14ac:dyDescent="0.25">
      <c r="C28" t="s">
        <v>38</v>
      </c>
      <c r="D28">
        <v>21203395.68</v>
      </c>
    </row>
    <row r="33" ht="15" customHeight="1" x14ac:dyDescent="0.25"/>
  </sheetData>
  <dataValidations count="2">
    <dataValidation type="list" allowBlank="1" showInputMessage="1" showErrorMessage="1" sqref="D4:E4" xr:uid="{398239C6-37F6-49C0-A7C8-7DCB9882B2AA}">
      <formula1>"Gesamtlaufzeit,Abzinsung,Abzinsungsreihe,Jahr,Einmalzahlung,1. Rate,Laufzeit,Vorlaufzeit,Abnahme pro Jahr,Zunahme pro Jahr,Zahltakt,Quadratische Steigerung,Steigerungsrate"</formula1>
    </dataValidation>
    <dataValidation type="list" errorStyle="warning" allowBlank="1" showInputMessage="1" showErrorMessage="1" errorTitle="Fehler" error="Bitte wählen Sie aus der Liste" promptTitle="Parameterauswahl" prompt="Bitte wählen Sie aus der Liste" sqref="D7:K7" xr:uid="{E657CB80-E10A-44CE-A13B-65EB3AF6982D}">
      <formula1>"Gesamtlaufzeit,Abzinsung,Abzinsungsreihe,Jahr,Einmalzahlung,1. Rate,Laufzeit,Vorlaufzeit,Abnahme pro Jahr,Zunahme pro Jahr,Zahltakt,Quadratische Steigerung,Steigerungsrate"</formula1>
    </dataValidation>
  </dataValidations>
  <pageMargins left="0.7" right="0.7" top="0.78740157499999996" bottom="0.78740157499999996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7A69F-8A03-4789-9ED6-E6200DFD5EE2}">
  <sheetPr codeName="Tabelle2"/>
  <dimension ref="A1:B53"/>
  <sheetViews>
    <sheetView workbookViewId="0">
      <selection activeCell="F20" sqref="F20"/>
    </sheetView>
  </sheetViews>
  <sheetFormatPr baseColWidth="10" defaultRowHeight="15" x14ac:dyDescent="0.25"/>
  <cols>
    <col min="1" max="1" width="17.140625" bestFit="1" customWidth="1"/>
  </cols>
  <sheetData>
    <row r="1" spans="1:2" x14ac:dyDescent="0.25">
      <c r="A1" s="11" t="s">
        <v>23</v>
      </c>
    </row>
    <row r="2" spans="1:2" ht="15.75" thickBot="1" x14ac:dyDescent="0.3"/>
    <row r="3" spans="1:2" x14ac:dyDescent="0.25">
      <c r="A3" s="12" t="s">
        <v>12</v>
      </c>
      <c r="B3" s="13"/>
    </row>
    <row r="4" spans="1:2" x14ac:dyDescent="0.25">
      <c r="A4" s="14" t="s">
        <v>25</v>
      </c>
      <c r="B4" s="15" t="str">
        <f>_xlfn.TEXTJOIN(";",TRUE,Zinssatzverlauf!A6:A55)</f>
        <v>0,0209;0,0217;0,0232;0,0248;0,0263;0,0279;0,0293;0,0307;0,0319;0,033;0,034;0,0348;0,0356;0,0362;0,0368;0,037;0,0373;0,0375;0,0377;0,0379;0,0378;0,0378;0,0377;0,0377;0,0377;0,0375;0,0374;0,0373;0,0372;0,0371;0,037;0,0369;0,0368;0,0367;0,0366;0,0366;0,0365;0,0364;0,0364;0,0363;0,0362;0,0362;0,0362;0,0361;0,0361;0,036;0,036;0,036;0,0359;0,0359</v>
      </c>
    </row>
    <row r="5" spans="1:2" x14ac:dyDescent="0.25">
      <c r="A5" s="14" t="s">
        <v>9</v>
      </c>
      <c r="B5" s="16">
        <v>30</v>
      </c>
    </row>
    <row r="6" spans="1:2" x14ac:dyDescent="0.25">
      <c r="A6" s="17"/>
      <c r="B6" s="16"/>
    </row>
    <row r="7" spans="1:2" x14ac:dyDescent="0.25">
      <c r="A7" s="18" t="s">
        <v>6</v>
      </c>
      <c r="B7" s="16"/>
    </row>
    <row r="8" spans="1:2" x14ac:dyDescent="0.25">
      <c r="A8" s="14" t="s">
        <v>0</v>
      </c>
      <c r="B8" s="16">
        <v>2026</v>
      </c>
    </row>
    <row r="9" spans="1:2" x14ac:dyDescent="0.25">
      <c r="A9" s="14" t="s">
        <v>2</v>
      </c>
      <c r="B9" s="16">
        <v>30</v>
      </c>
    </row>
    <row r="10" spans="1:2" x14ac:dyDescent="0.25">
      <c r="A10" s="14" t="s">
        <v>3</v>
      </c>
      <c r="B10" s="16">
        <v>150000</v>
      </c>
    </row>
    <row r="11" spans="1:2" x14ac:dyDescent="0.25">
      <c r="A11" s="17"/>
      <c r="B11" s="16"/>
    </row>
    <row r="12" spans="1:2" x14ac:dyDescent="0.25">
      <c r="A12" s="18" t="s">
        <v>7</v>
      </c>
      <c r="B12" s="16"/>
    </row>
    <row r="13" spans="1:2" x14ac:dyDescent="0.25">
      <c r="A13" s="14" t="s">
        <v>0</v>
      </c>
      <c r="B13" s="16">
        <v>2026</v>
      </c>
    </row>
    <row r="14" spans="1:2" x14ac:dyDescent="0.25">
      <c r="A14" s="14" t="s">
        <v>2</v>
      </c>
      <c r="B14" s="16">
        <v>1</v>
      </c>
    </row>
    <row r="15" spans="1:2" x14ac:dyDescent="0.25">
      <c r="A15" s="14" t="s">
        <v>1</v>
      </c>
      <c r="B15" s="16">
        <v>3</v>
      </c>
    </row>
    <row r="16" spans="1:2" x14ac:dyDescent="0.25">
      <c r="A16" s="14" t="s">
        <v>3</v>
      </c>
      <c r="B16" s="16">
        <v>-1000000</v>
      </c>
    </row>
    <row r="17" spans="1:2" x14ac:dyDescent="0.25">
      <c r="A17" s="17"/>
      <c r="B17" s="16"/>
    </row>
    <row r="18" spans="1:2" ht="15" customHeight="1" x14ac:dyDescent="0.25">
      <c r="A18" s="26" t="s">
        <v>16</v>
      </c>
      <c r="B18" s="27"/>
    </row>
    <row r="19" spans="1:2" x14ac:dyDescent="0.25">
      <c r="A19" s="26"/>
      <c r="B19" s="27"/>
    </row>
    <row r="20" spans="1:2" x14ac:dyDescent="0.25">
      <c r="A20" s="14" t="s">
        <v>0</v>
      </c>
      <c r="B20" s="16">
        <v>2026</v>
      </c>
    </row>
    <row r="21" spans="1:2" x14ac:dyDescent="0.25">
      <c r="A21" s="14" t="s">
        <v>2</v>
      </c>
      <c r="B21" s="16">
        <v>20</v>
      </c>
    </row>
    <row r="22" spans="1:2" x14ac:dyDescent="0.25">
      <c r="A22" s="14" t="s">
        <v>3</v>
      </c>
      <c r="B22" s="16">
        <f>526400-B23*0</f>
        <v>526400</v>
      </c>
    </row>
    <row r="23" spans="1:2" x14ac:dyDescent="0.25">
      <c r="A23" s="14" t="s">
        <v>4</v>
      </c>
      <c r="B23" s="16">
        <v>8400</v>
      </c>
    </row>
    <row r="24" spans="1:2" x14ac:dyDescent="0.25">
      <c r="A24" s="17"/>
      <c r="B24" s="16"/>
    </row>
    <row r="25" spans="1:2" x14ac:dyDescent="0.25">
      <c r="A25" s="26" t="s">
        <v>17</v>
      </c>
      <c r="B25" s="27"/>
    </row>
    <row r="26" spans="1:2" x14ac:dyDescent="0.25">
      <c r="A26" s="14" t="s">
        <v>0</v>
      </c>
      <c r="B26" s="16">
        <v>2026</v>
      </c>
    </row>
    <row r="27" spans="1:2" x14ac:dyDescent="0.25">
      <c r="A27" s="14" t="s">
        <v>1</v>
      </c>
      <c r="B27" s="16">
        <v>25</v>
      </c>
    </row>
    <row r="28" spans="1:2" x14ac:dyDescent="0.25">
      <c r="A28" s="14" t="s">
        <v>2</v>
      </c>
      <c r="B28" s="16">
        <v>4</v>
      </c>
    </row>
    <row r="29" spans="1:2" x14ac:dyDescent="0.25">
      <c r="A29" s="14" t="s">
        <v>3</v>
      </c>
      <c r="B29" s="16">
        <f>(836000-16000*0)*1.015^25</f>
        <v>1212990.3160342509</v>
      </c>
    </row>
    <row r="30" spans="1:2" x14ac:dyDescent="0.25">
      <c r="A30" s="14" t="s">
        <v>4</v>
      </c>
      <c r="B30" s="16">
        <f>16000*1.015^25</f>
        <v>23215.12566572729</v>
      </c>
    </row>
    <row r="31" spans="1:2" x14ac:dyDescent="0.25">
      <c r="A31" s="17"/>
      <c r="B31" s="16"/>
    </row>
    <row r="32" spans="1:2" ht="15" customHeight="1" x14ac:dyDescent="0.25">
      <c r="A32" s="26" t="s">
        <v>18</v>
      </c>
      <c r="B32" s="27"/>
    </row>
    <row r="33" spans="1:2" x14ac:dyDescent="0.25">
      <c r="A33" s="14" t="s">
        <v>0</v>
      </c>
      <c r="B33" s="16">
        <v>2026</v>
      </c>
    </row>
    <row r="34" spans="1:2" x14ac:dyDescent="0.25">
      <c r="A34" s="14" t="s">
        <v>2</v>
      </c>
      <c r="B34" s="16">
        <v>10</v>
      </c>
    </row>
    <row r="35" spans="1:2" x14ac:dyDescent="0.25">
      <c r="A35" s="14" t="s">
        <v>3</v>
      </c>
      <c r="B35" s="16">
        <f>(400000-B36*0)*(1+B37)^0</f>
        <v>400000</v>
      </c>
    </row>
    <row r="36" spans="1:2" x14ac:dyDescent="0.25">
      <c r="A36" s="14" t="s">
        <v>4</v>
      </c>
      <c r="B36" s="16">
        <v>16000</v>
      </c>
    </row>
    <row r="37" spans="1:2" x14ac:dyDescent="0.25">
      <c r="A37" s="14" t="s">
        <v>8</v>
      </c>
      <c r="B37" s="19">
        <v>0.02</v>
      </c>
    </row>
    <row r="38" spans="1:2" x14ac:dyDescent="0.25">
      <c r="A38" s="17"/>
      <c r="B38" s="19"/>
    </row>
    <row r="39" spans="1:2" x14ac:dyDescent="0.25">
      <c r="A39" s="26" t="s">
        <v>19</v>
      </c>
      <c r="B39" s="27"/>
    </row>
    <row r="40" spans="1:2" x14ac:dyDescent="0.25">
      <c r="A40" s="14" t="s">
        <v>0</v>
      </c>
      <c r="B40" s="16">
        <v>2036</v>
      </c>
    </row>
    <row r="41" spans="1:2" x14ac:dyDescent="0.25">
      <c r="A41" s="14" t="s">
        <v>1</v>
      </c>
      <c r="B41" s="16">
        <v>10</v>
      </c>
    </row>
    <row r="42" spans="1:2" x14ac:dyDescent="0.25">
      <c r="A42" s="14" t="s">
        <v>2</v>
      </c>
      <c r="B42" s="16">
        <v>20</v>
      </c>
    </row>
    <row r="43" spans="1:2" x14ac:dyDescent="0.25">
      <c r="A43" s="14" t="s">
        <v>3</v>
      </c>
      <c r="B43" s="16">
        <f>240000*1.02^(10+0)</f>
        <v>292558.66079874168</v>
      </c>
    </row>
    <row r="44" spans="1:2" x14ac:dyDescent="0.25">
      <c r="A44" s="14" t="s">
        <v>8</v>
      </c>
      <c r="B44" s="19">
        <v>0.02</v>
      </c>
    </row>
    <row r="45" spans="1:2" x14ac:dyDescent="0.25">
      <c r="A45" s="17"/>
      <c r="B45" s="19"/>
    </row>
    <row r="46" spans="1:2" x14ac:dyDescent="0.25">
      <c r="A46" s="26" t="s">
        <v>20</v>
      </c>
      <c r="B46" s="27"/>
    </row>
    <row r="47" spans="1:2" x14ac:dyDescent="0.25">
      <c r="A47" s="26"/>
      <c r="B47" s="27"/>
    </row>
    <row r="48" spans="1:2" x14ac:dyDescent="0.25">
      <c r="A48" s="14" t="s">
        <v>0</v>
      </c>
      <c r="B48" s="16">
        <v>2026</v>
      </c>
    </row>
    <row r="49" spans="1:2" x14ac:dyDescent="0.25">
      <c r="A49" s="14" t="s">
        <v>3</v>
      </c>
      <c r="B49" s="16">
        <f>(300000-0*B50+0^2*B51)*(1+B52)^0</f>
        <v>300000</v>
      </c>
    </row>
    <row r="50" spans="1:2" x14ac:dyDescent="0.25">
      <c r="A50" s="14" t="s">
        <v>4</v>
      </c>
      <c r="B50" s="16">
        <v>30000</v>
      </c>
    </row>
    <row r="51" spans="1:2" x14ac:dyDescent="0.25">
      <c r="A51" s="14" t="s">
        <v>11</v>
      </c>
      <c r="B51" s="16">
        <v>1500</v>
      </c>
    </row>
    <row r="52" spans="1:2" x14ac:dyDescent="0.25">
      <c r="A52" s="14" t="s">
        <v>8</v>
      </c>
      <c r="B52" s="19">
        <v>1.4999999999999999E-2</v>
      </c>
    </row>
    <row r="53" spans="1:2" ht="15.75" thickBot="1" x14ac:dyDescent="0.3">
      <c r="A53" s="20" t="s">
        <v>10</v>
      </c>
      <c r="B53" s="21">
        <v>2</v>
      </c>
    </row>
  </sheetData>
  <mergeCells count="5">
    <mergeCell ref="A18:B19"/>
    <mergeCell ref="A25:B25"/>
    <mergeCell ref="A32:B32"/>
    <mergeCell ref="A39:B39"/>
    <mergeCell ref="A46:B47"/>
  </mergeCells>
  <dataValidations count="2">
    <dataValidation type="list" errorStyle="warning" allowBlank="1" showInputMessage="1" showErrorMessage="1" errorTitle="Fehler" error="Bitte wählen Sie aus der Liste" promptTitle="Parameterauswahl" prompt="Bitte wählen Sie aus der Liste" sqref="A48:A53 A40:A44 A33:A37 A26:A30 A20:A23 A13:A16 A8:A10" xr:uid="{3A5785BD-EE3B-402A-AF1A-01BBC27AA531}">
      <formula1>"Gesamtlaufzeit,Abzinsung,Abzinsungsreihe,Jahr,Einmalzahlung,1. Rate,Laufzeit,Vorlaufzeit,Abnahme pro Jahr,Zunahme pro Jahr,Zahltakt,Quadratische Steigerung,Steigerungsrate"</formula1>
    </dataValidation>
    <dataValidation type="list" allowBlank="1" showInputMessage="1" showErrorMessage="1" sqref="A4:A5" xr:uid="{F7181187-18FA-4F0A-9338-14BB3E0B8B65}">
      <formula1>"Gesamtlaufzeit,Abzinsung,Abzinsungsreihe,Jahr,Einmalzahlung,1. Rate,Laufzeit,Vorlaufzeit,Abnahme pro Jahr,Zunahme pro Jahr,Zahltakt,Quadratische Steigerung,Steigerungsrate"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6446-2012-4DDF-A8D9-D1F15845DEB6}">
  <sheetPr codeName="Tabelle3"/>
  <dimension ref="A1:B32"/>
  <sheetViews>
    <sheetView workbookViewId="0">
      <selection activeCell="F21" sqref="F21"/>
    </sheetView>
  </sheetViews>
  <sheetFormatPr baseColWidth="10" defaultRowHeight="15" x14ac:dyDescent="0.25"/>
  <cols>
    <col min="1" max="1" width="17.140625" bestFit="1" customWidth="1"/>
  </cols>
  <sheetData>
    <row r="1" spans="1:2" x14ac:dyDescent="0.25">
      <c r="A1" s="11" t="s">
        <v>22</v>
      </c>
    </row>
    <row r="2" spans="1:2" ht="15.75" thickBot="1" x14ac:dyDescent="0.3"/>
    <row r="3" spans="1:2" x14ac:dyDescent="0.25">
      <c r="A3" s="12" t="s">
        <v>12</v>
      </c>
      <c r="B3" s="13"/>
    </row>
    <row r="4" spans="1:2" x14ac:dyDescent="0.25">
      <c r="A4" s="14" t="s">
        <v>5</v>
      </c>
      <c r="B4" s="15">
        <v>0.03</v>
      </c>
    </row>
    <row r="5" spans="1:2" x14ac:dyDescent="0.25">
      <c r="A5" s="14" t="s">
        <v>9</v>
      </c>
      <c r="B5" s="16">
        <v>31</v>
      </c>
    </row>
    <row r="6" spans="1:2" x14ac:dyDescent="0.25">
      <c r="A6" s="17"/>
      <c r="B6" s="16"/>
    </row>
    <row r="7" spans="1:2" x14ac:dyDescent="0.25">
      <c r="A7" s="18" t="s">
        <v>21</v>
      </c>
      <c r="B7" s="16"/>
    </row>
    <row r="8" spans="1:2" x14ac:dyDescent="0.25">
      <c r="A8" s="14" t="s">
        <v>0</v>
      </c>
      <c r="B8" s="16">
        <v>2026</v>
      </c>
    </row>
    <row r="9" spans="1:2" x14ac:dyDescent="0.25">
      <c r="A9" s="14" t="s">
        <v>2</v>
      </c>
      <c r="B9" s="16">
        <v>15</v>
      </c>
    </row>
    <row r="10" spans="1:2" ht="15.75" thickBot="1" x14ac:dyDescent="0.3">
      <c r="A10" s="20" t="s">
        <v>3</v>
      </c>
      <c r="B10" s="21">
        <f>486400/B9</f>
        <v>32426.666666666668</v>
      </c>
    </row>
    <row r="18" ht="15" customHeight="1" x14ac:dyDescent="0.25"/>
    <row r="32" ht="15" customHeight="1" x14ac:dyDescent="0.25"/>
  </sheetData>
  <dataValidations count="2">
    <dataValidation type="list" errorStyle="warning" allowBlank="1" showInputMessage="1" showErrorMessage="1" errorTitle="Fehler" error="Bitte wählen Sie aus der Liste" promptTitle="Parameterauswahl" prompt="Bitte wählen Sie aus der Liste" sqref="A8:A10" xr:uid="{BD3B5A6C-BC16-4F0C-BB41-96CEB7844AA3}">
      <formula1>"Gesamtlaufzeit,Abzinsung,Abzinsungsreihe,Jahr,Einmalzahlung,1. Rate,Laufzeit,Vorlaufzeit,Abnahme pro Jahr,Zunahme pro Jahr,Zahltakt,Quadratische Steigerung,Steigerungsrate"</formula1>
    </dataValidation>
    <dataValidation type="list" allowBlank="1" showInputMessage="1" showErrorMessage="1" sqref="A4:A5" xr:uid="{F36D9E1B-2EF8-445C-94A3-6AAC39582091}">
      <formula1>"Gesamtlaufzeit,Abzinsung,Abzinsungsreihe,Jahr,Einmalzahlung,1. Rate,Laufzeit,Vorlaufzeit,Abnahme pro Jahr,Zunahme pro Jahr,Zahltakt,Quadratische Steigerung,Steigerungsrate"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D5D1-D11D-4A88-83B6-5F0230F62FF4}">
  <sheetPr codeName="Tabelle4"/>
  <dimension ref="A1:N56"/>
  <sheetViews>
    <sheetView workbookViewId="0">
      <selection activeCell="I22" sqref="I22"/>
    </sheetView>
  </sheetViews>
  <sheetFormatPr baseColWidth="10" defaultRowHeight="15" x14ac:dyDescent="0.25"/>
  <sheetData>
    <row r="1" spans="1:14" s="8" customFormat="1" ht="15.75" x14ac:dyDescent="0.25">
      <c r="A1" s="6" t="s">
        <v>15</v>
      </c>
      <c r="B1" s="7"/>
      <c r="C1" s="7"/>
      <c r="D1" s="7"/>
      <c r="E1" s="7"/>
      <c r="F1" s="7"/>
      <c r="H1" s="7"/>
      <c r="I1" s="7"/>
      <c r="J1" s="7"/>
      <c r="L1" s="9"/>
      <c r="N1" s="10"/>
    </row>
    <row r="2" spans="1:14" x14ac:dyDescent="0.25">
      <c r="A2" s="1">
        <v>43100</v>
      </c>
    </row>
    <row r="3" spans="1:14" x14ac:dyDescent="0.25">
      <c r="A3" s="2" t="s">
        <v>13</v>
      </c>
    </row>
    <row r="4" spans="1:14" x14ac:dyDescent="0.25">
      <c r="A4" s="3" t="s">
        <v>14</v>
      </c>
    </row>
    <row r="5" spans="1:14" x14ac:dyDescent="0.25">
      <c r="A5" s="4">
        <v>0</v>
      </c>
    </row>
    <row r="6" spans="1:14" x14ac:dyDescent="0.25">
      <c r="A6" s="5">
        <v>2.0899999999999998E-2</v>
      </c>
    </row>
    <row r="7" spans="1:14" x14ac:dyDescent="0.25">
      <c r="A7" s="5">
        <v>2.1700000000000001E-2</v>
      </c>
    </row>
    <row r="8" spans="1:14" x14ac:dyDescent="0.25">
      <c r="A8" s="5">
        <v>2.3199999999999998E-2</v>
      </c>
    </row>
    <row r="9" spans="1:14" x14ac:dyDescent="0.25">
      <c r="A9" s="5">
        <v>2.4799999999999999E-2</v>
      </c>
    </row>
    <row r="10" spans="1:14" x14ac:dyDescent="0.25">
      <c r="A10" s="5">
        <v>2.63E-2</v>
      </c>
    </row>
    <row r="11" spans="1:14" x14ac:dyDescent="0.25">
      <c r="A11" s="5">
        <v>2.7900000000000001E-2</v>
      </c>
    </row>
    <row r="12" spans="1:14" x14ac:dyDescent="0.25">
      <c r="A12" s="5">
        <v>2.9300000000000003E-2</v>
      </c>
    </row>
    <row r="13" spans="1:14" x14ac:dyDescent="0.25">
      <c r="A13" s="5">
        <v>3.0699999999999998E-2</v>
      </c>
    </row>
    <row r="14" spans="1:14" x14ac:dyDescent="0.25">
      <c r="A14" s="5">
        <v>3.1899999999999998E-2</v>
      </c>
    </row>
    <row r="15" spans="1:14" x14ac:dyDescent="0.25">
      <c r="A15" s="5">
        <v>3.3000000000000002E-2</v>
      </c>
    </row>
    <row r="16" spans="1:14" x14ac:dyDescent="0.25">
      <c r="A16" s="5">
        <v>3.4000000000000002E-2</v>
      </c>
    </row>
    <row r="17" spans="1:1" x14ac:dyDescent="0.25">
      <c r="A17" s="5">
        <v>3.4799999999999998E-2</v>
      </c>
    </row>
    <row r="18" spans="1:1" x14ac:dyDescent="0.25">
      <c r="A18" s="5">
        <v>3.56E-2</v>
      </c>
    </row>
    <row r="19" spans="1:1" x14ac:dyDescent="0.25">
      <c r="A19" s="5">
        <v>3.6200000000000003E-2</v>
      </c>
    </row>
    <row r="20" spans="1:1" x14ac:dyDescent="0.25">
      <c r="A20" s="5">
        <v>3.6799999999999999E-2</v>
      </c>
    </row>
    <row r="21" spans="1:1" x14ac:dyDescent="0.25">
      <c r="A21" s="5">
        <v>3.7000000000000005E-2</v>
      </c>
    </row>
    <row r="22" spans="1:1" x14ac:dyDescent="0.25">
      <c r="A22" s="5">
        <v>3.73E-2</v>
      </c>
    </row>
    <row r="23" spans="1:1" x14ac:dyDescent="0.25">
      <c r="A23" s="5">
        <v>3.7499999999999999E-2</v>
      </c>
    </row>
    <row r="24" spans="1:1" x14ac:dyDescent="0.25">
      <c r="A24" s="5">
        <v>3.7699999999999997E-2</v>
      </c>
    </row>
    <row r="25" spans="1:1" x14ac:dyDescent="0.25">
      <c r="A25" s="5">
        <v>3.7900000000000003E-2</v>
      </c>
    </row>
    <row r="26" spans="1:1" x14ac:dyDescent="0.25">
      <c r="A26" s="5">
        <v>3.78E-2</v>
      </c>
    </row>
    <row r="27" spans="1:1" x14ac:dyDescent="0.25">
      <c r="A27" s="5">
        <v>3.78E-2</v>
      </c>
    </row>
    <row r="28" spans="1:1" x14ac:dyDescent="0.25">
      <c r="A28" s="5">
        <v>3.7699999999999997E-2</v>
      </c>
    </row>
    <row r="29" spans="1:1" x14ac:dyDescent="0.25">
      <c r="A29" s="5">
        <v>3.7699999999999997E-2</v>
      </c>
    </row>
    <row r="30" spans="1:1" x14ac:dyDescent="0.25">
      <c r="A30" s="5">
        <v>3.7699999999999997E-2</v>
      </c>
    </row>
    <row r="31" spans="1:1" x14ac:dyDescent="0.25">
      <c r="A31" s="5">
        <v>3.7499999999999999E-2</v>
      </c>
    </row>
    <row r="32" spans="1:1" x14ac:dyDescent="0.25">
      <c r="A32" s="5">
        <v>3.7400000000000003E-2</v>
      </c>
    </row>
    <row r="33" spans="1:1" x14ac:dyDescent="0.25">
      <c r="A33" s="5">
        <v>3.73E-2</v>
      </c>
    </row>
    <row r="34" spans="1:1" x14ac:dyDescent="0.25">
      <c r="A34" s="5">
        <v>3.7200000000000004E-2</v>
      </c>
    </row>
    <row r="35" spans="1:1" x14ac:dyDescent="0.25">
      <c r="A35" s="5">
        <v>3.7100000000000001E-2</v>
      </c>
    </row>
    <row r="36" spans="1:1" x14ac:dyDescent="0.25">
      <c r="A36" s="5">
        <v>3.7000000000000005E-2</v>
      </c>
    </row>
    <row r="37" spans="1:1" x14ac:dyDescent="0.25">
      <c r="A37" s="5">
        <v>3.6900000000000002E-2</v>
      </c>
    </row>
    <row r="38" spans="1:1" x14ac:dyDescent="0.25">
      <c r="A38" s="5">
        <v>3.6799999999999999E-2</v>
      </c>
    </row>
    <row r="39" spans="1:1" x14ac:dyDescent="0.25">
      <c r="A39" s="5">
        <v>3.6699999999999997E-2</v>
      </c>
    </row>
    <row r="40" spans="1:1" x14ac:dyDescent="0.25">
      <c r="A40" s="5">
        <v>3.6600000000000001E-2</v>
      </c>
    </row>
    <row r="41" spans="1:1" x14ac:dyDescent="0.25">
      <c r="A41" s="5">
        <v>3.6600000000000001E-2</v>
      </c>
    </row>
    <row r="42" spans="1:1" x14ac:dyDescent="0.25">
      <c r="A42" s="5">
        <v>3.6499999999999998E-2</v>
      </c>
    </row>
    <row r="43" spans="1:1" x14ac:dyDescent="0.25">
      <c r="A43" s="5">
        <v>3.6400000000000002E-2</v>
      </c>
    </row>
    <row r="44" spans="1:1" x14ac:dyDescent="0.25">
      <c r="A44" s="5">
        <v>3.6400000000000002E-2</v>
      </c>
    </row>
    <row r="45" spans="1:1" x14ac:dyDescent="0.25">
      <c r="A45" s="5">
        <v>3.6299999999999999E-2</v>
      </c>
    </row>
    <row r="46" spans="1:1" x14ac:dyDescent="0.25">
      <c r="A46" s="5">
        <v>3.6200000000000003E-2</v>
      </c>
    </row>
    <row r="47" spans="1:1" x14ac:dyDescent="0.25">
      <c r="A47" s="5">
        <v>3.6200000000000003E-2</v>
      </c>
    </row>
    <row r="48" spans="1:1" x14ac:dyDescent="0.25">
      <c r="A48" s="5">
        <v>3.6200000000000003E-2</v>
      </c>
    </row>
    <row r="49" spans="1:1" x14ac:dyDescent="0.25">
      <c r="A49" s="5">
        <v>3.61E-2</v>
      </c>
    </row>
    <row r="50" spans="1:1" x14ac:dyDescent="0.25">
      <c r="A50" s="5">
        <v>3.61E-2</v>
      </c>
    </row>
    <row r="51" spans="1:1" x14ac:dyDescent="0.25">
      <c r="A51" s="5">
        <v>3.6000000000000004E-2</v>
      </c>
    </row>
    <row r="52" spans="1:1" x14ac:dyDescent="0.25">
      <c r="A52" s="5">
        <v>3.6000000000000004E-2</v>
      </c>
    </row>
    <row r="53" spans="1:1" x14ac:dyDescent="0.25">
      <c r="A53" s="5">
        <v>3.6000000000000004E-2</v>
      </c>
    </row>
    <row r="54" spans="1:1" x14ac:dyDescent="0.25">
      <c r="A54" s="5">
        <v>3.5900000000000001E-2</v>
      </c>
    </row>
    <row r="55" spans="1:1" x14ac:dyDescent="0.25">
      <c r="A55" s="5">
        <v>3.5900000000000001E-2</v>
      </c>
    </row>
    <row r="56" spans="1:1" x14ac:dyDescent="0.25">
      <c r="A56" s="5">
        <v>3.5900000000000001E-2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2</vt:i4>
      </vt:variant>
    </vt:vector>
  </HeadingPairs>
  <TitlesOfParts>
    <vt:vector size="6" baseType="lpstr">
      <vt:lpstr>Ab 4.7 (3%)</vt:lpstr>
      <vt:lpstr>Ab 4.7 variabel</vt:lpstr>
      <vt:lpstr>Ab. 5.2</vt:lpstr>
      <vt:lpstr>Zinssatzverlauf</vt:lpstr>
      <vt:lpstr>'Ab 4.7 variabel'!clipboard</vt:lpstr>
      <vt:lpstr>'Ab. 5.2'!clipboard</vt:lpstr>
    </vt:vector>
  </TitlesOfParts>
  <Company>FH Aachen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Höttges, Jörg</dc:creator>
  <cp:lastModifiedBy>Höttges, Jörg</cp:lastModifiedBy>
  <dcterms:created xsi:type="dcterms:W3CDTF">2026-04-24T10:10:20Z</dcterms:created>
  <dcterms:modified xsi:type="dcterms:W3CDTF">2026-05-12T08:04:41Z</dcterms:modified>
</cp:coreProperties>
</file>